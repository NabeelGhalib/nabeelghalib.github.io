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F:\Portfolio Project Datasets\Coffee Shop Sales\"/>
    </mc:Choice>
  </mc:AlternateContent>
  <xr:revisionPtr revIDLastSave="0" documentId="13_ncr:1_{8C7E34FE-3518-4125-A89D-23833DE54152}" xr6:coauthVersionLast="47" xr6:coauthVersionMax="47" xr10:uidLastSave="{00000000-0000-0000-0000-000000000000}"/>
  <bookViews>
    <workbookView xWindow="-120" yWindow="-120" windowWidth="38640" windowHeight="21240" firstSheet="1" activeTab="8" xr2:uid="{00000000-000D-0000-FFFF-FFFF00000000}"/>
  </bookViews>
  <sheets>
    <sheet name="Detail1" sheetId="19" state="hidden" r:id="rId1"/>
    <sheet name="orders" sheetId="17" r:id="rId2"/>
    <sheet name="customers" sheetId="13" r:id="rId3"/>
    <sheet name="products" sheetId="2" r:id="rId4"/>
    <sheet name="KPI" sheetId="20" r:id="rId5"/>
    <sheet name="Total Revenue Overtime" sheetId="18" r:id="rId6"/>
    <sheet name="Revenue by Country" sheetId="21" r:id="rId7"/>
    <sheet name="Top Customers" sheetId="25" r:id="rId8"/>
    <sheet name="Product Analysis" sheetId="27" r:id="rId9"/>
    <sheet name="Analysis Sheet" sheetId="30" r:id="rId10"/>
    <sheet name="Dashboard" sheetId="29" r:id="rId11"/>
  </sheets>
  <definedNames>
    <definedName name="_xlnm._FilterDatabase" localSheetId="2" hidden="1">customers!$B$1:$B$1001</definedName>
    <definedName name="_xlnm._FilterDatabase" localSheetId="1" hidden="1">orders!$A$1:$M$1001</definedName>
    <definedName name="_xlnm._FilterDatabase" localSheetId="3" hidden="1">products!$A$1:$G$49</definedName>
    <definedName name="NativeTimeline_Order_Date">#N/A</definedName>
    <definedName name="Slicer_Coffee_Type_Name">#N/A</definedName>
    <definedName name="Slicer_Loyalty_Card">#N/A</definedName>
    <definedName name="Slicer_Roast_Type_Name">#N/A</definedName>
    <definedName name="Slicer_Size">#N/A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L6" i="17"/>
  <c r="M6" i="17" s="1"/>
  <c r="J8" i="17"/>
  <c r="O8" i="17" s="1"/>
  <c r="I11" i="17"/>
  <c r="N11" i="17" s="1"/>
  <c r="L3" i="17"/>
  <c r="M3" i="17" s="1"/>
  <c r="L4" i="17"/>
  <c r="M4" i="17" s="1"/>
  <c r="L5" i="17"/>
  <c r="M5"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K2" i="17"/>
  <c r="L2" i="17"/>
  <c r="M2" i="17" s="1"/>
  <c r="I3" i="17"/>
  <c r="N3" i="17" s="1"/>
  <c r="I4" i="17"/>
  <c r="N4" i="17" s="1"/>
  <c r="I5" i="17"/>
  <c r="N5" i="17" s="1"/>
  <c r="I6" i="17"/>
  <c r="N6" i="17" s="1"/>
  <c r="I7" i="17"/>
  <c r="N7" i="17" s="1"/>
  <c r="I8" i="17"/>
  <c r="N8" i="17" s="1"/>
  <c r="I9" i="17"/>
  <c r="N9" i="17" s="1"/>
  <c r="I10" i="17"/>
  <c r="N10"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C17" i="20"/>
  <c r="C9" i="20"/>
  <c r="C4" i="20"/>
</calcChain>
</file>

<file path=xl/sharedStrings.xml><?xml version="1.0" encoding="utf-8"?>
<sst xmlns="http://schemas.openxmlformats.org/spreadsheetml/2006/main" count="11397" uniqueCount="6241">
  <si>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</si>
  <si>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</si>
  <si>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</si>
  <si>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</si>
  <si>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</si>
  <si>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</si>
  <si>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</si>
  <si>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</si>
  <si>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</si>
  <si>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</si>
  <si>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</si>
  <si>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</si>
  <si>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</si>
  <si>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</si>
  <si>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</si>
  <si>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</si>
  <si>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</si>
  <si>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</si>
  <si>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</si>
  <si>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</si>
  <si>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</si>
  <si>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</si>
  <si>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</si>
  <si>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</si>
  <si>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</si>
  <si>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</si>
  <si>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</si>
  <si>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</si>
  <si>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</si>
  <si>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</si>
  <si>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</si>
  <si>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</si>
  <si>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</si>
  <si>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</si>
  <si>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</si>
  <si>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</si>
  <si>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</si>
  <si>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</si>
  <si>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</si>
  <si>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</si>
  <si>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</si>
  <si>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</si>
  <si>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</si>
  <si>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</si>
  <si>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</si>
  <si>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</si>
  <si>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</si>
  <si>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</si>
  <si>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</si>
  <si>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</si>
  <si>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</si>
  <si>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</si>
  <si>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</si>
  <si>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</si>
  <si>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</si>
  <si>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</si>
  <si>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</si>
  <si>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</si>
  <si>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</si>
  <si>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</si>
  <si>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</si>
  <si>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</si>
  <si>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</si>
  <si>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</si>
  <si>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</si>
  <si>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</si>
  <si>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</si>
  <si>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</si>
  <si>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</si>
  <si>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</si>
  <si>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</si>
  <si>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</si>
  <si>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</si>
  <si>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</si>
  <si>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</si>
  <si>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</si>
  <si>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</si>
  <si>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</si>
  <si>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</si>
  <si>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</si>
  <si>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</si>
  <si>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</si>
  <si>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</si>
  <si>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</si>
  <si>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</si>
  <si>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</si>
  <si>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</si>
  <si>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</si>
  <si>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</si>
  <si>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</si>
  <si>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</si>
  <si>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</si>
  <si>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</si>
  <si>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</si>
  <si>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</si>
  <si>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</si>
  <si>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</si>
  <si>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</si>
  <si>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</si>
  <si>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</si>
  <si>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</si>
  <si>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</si>
  <si>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</si>
  <si>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</si>
  <si>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</si>
  <si>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</si>
  <si>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</si>
  <si>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</si>
  <si>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</si>
  <si>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</si>
  <si>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</si>
  <si>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</si>
  <si>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</si>
  <si>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</si>
  <si>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</si>
  <si>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</si>
  <si>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</si>
  <si>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</si>
  <si>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</si>
  <si>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</si>
  <si>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</si>
  <si>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</si>
  <si>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</si>
  <si>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</si>
  <si>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</si>
  <si>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</si>
  <si>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</si>
  <si>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</si>
  <si>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</si>
  <si>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</si>
  <si>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</si>
  <si>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</si>
  <si>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</si>
  <si>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</si>
  <si>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</si>
  <si>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</si>
  <si>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</si>
  <si>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</si>
  <si>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</si>
  <si>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</si>
  <si>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</si>
  <si>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</si>
  <si>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</si>
  <si>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</si>
  <si>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</si>
  <si>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</si>
  <si>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</si>
  <si>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</si>
  <si>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</si>
  <si>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</si>
  <si>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</si>
  <si>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</si>
  <si>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</si>
  <si>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</si>
  <si>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</si>
  <si>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</si>
  <si>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</si>
  <si>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</si>
  <si>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</si>
  <si>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</si>
  <si>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</si>
  <si>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</si>
  <si>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</si>
  <si>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</si>
  <si>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</si>
  <si>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</si>
  <si>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</si>
  <si>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</si>
  <si>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</si>
  <si>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</si>
  <si>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</si>
  <si>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</si>
  <si>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</si>
  <si>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</si>
  <si>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</si>
  <si>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</si>
  <si>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</si>
  <si>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</si>
  <si>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</si>
  <si>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</si>
  <si>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</si>
  <si>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</si>
  <si>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</si>
  <si>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</si>
  <si>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</si>
  <si>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</si>
  <si>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</si>
  <si>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</si>
  <si>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</si>
  <si>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</si>
  <si>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</si>
  <si>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</si>
  <si>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</si>
  <si>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</si>
  <si>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</si>
  <si>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</si>
  <si>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</si>
  <si>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</si>
  <si>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</si>
  <si>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</si>
  <si>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</si>
  <si>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</si>
  <si>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</si>
  <si>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</si>
  <si>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</si>
  <si>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</si>
  <si>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</si>
  <si>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</si>
  <si>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</si>
  <si>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</si>
  <si>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</si>
  <si>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</si>
  <si>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</si>
  <si>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</si>
  <si>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</si>
  <si>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</si>
  <si>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</si>
  <si>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</si>
  <si>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</si>
  <si>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</si>
  <si>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</si>
  <si>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</si>
  <si>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</si>
  <si>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</si>
  <si>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</si>
  <si>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</si>
  <si>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</si>
  <si>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</si>
  <si>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</si>
  <si>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</si>
  <si>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</si>
  <si>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</si>
  <si>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</si>
  <si>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</si>
  <si>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</si>
  <si>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</si>
  <si>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</si>
  <si>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</si>
  <si>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</si>
  <si>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</si>
  <si>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</si>
  <si>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</si>
  <si>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</si>
  <si>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</si>
  <si>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</si>
  <si>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</si>
  <si>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</si>
  <si>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</si>
  <si>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</si>
  <si>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</si>
  <si>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</si>
  <si>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</si>
  <si>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</si>
  <si>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</si>
  <si>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</si>
  <si>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</si>
  <si>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</si>
  <si>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</si>
  <si>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</si>
  <si>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</si>
  <si>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</si>
  <si>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</si>
  <si>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</si>
  <si>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</si>
  <si>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</si>
  <si>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</si>
  <si>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</si>
  <si>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</si>
  <si>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</si>
  <si>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</si>
  <si>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</si>
  <si>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</si>
  <si>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</si>
  <si>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</si>
  <si>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</si>
  <si>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</si>
  <si>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</si>
  <si>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</si>
  <si>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</si>
  <si>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</si>
  <si>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</si>
  <si>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</si>
  <si>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</si>
  <si>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</si>
  <si>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</si>
  <si>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</si>
  <si>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</si>
  <si>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</si>
  <si>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</si>
  <si>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</si>
  <si>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</si>
  <si>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</si>
  <si>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</si>
  <si>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</si>
  <si>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</si>
  <si>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</si>
  <si>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</si>
  <si>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</si>
  <si>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</si>
  <si>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</si>
  <si>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</si>
  <si>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</si>
  <si>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</si>
  <si>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</si>
  <si>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</si>
  <si>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</si>
  <si>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</si>
  <si>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</si>
  <si>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</si>
  <si>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</si>
  <si>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</si>
  <si>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</si>
  <si>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</si>
  <si>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</si>
  <si>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</si>
  <si>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</si>
  <si>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</si>
  <si>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</si>
  <si>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</si>
  <si>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</si>
  <si>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</si>
  <si>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</si>
  <si>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</si>
  <si>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</si>
  <si>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</si>
  <si>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</si>
  <si>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</si>
  <si>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</si>
  <si>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</si>
  <si>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</si>
  <si>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</si>
  <si>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</si>
  <si>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</si>
  <si>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</si>
  <si>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</si>
  <si>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</si>
  <si>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</si>
  <si>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</si>
  <si>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</si>
  <si>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</si>
  <si>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</si>
  <si>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</si>
  <si>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</si>
  <si>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</si>
  <si>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</si>
  <si>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</si>
  <si>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</si>
  <si>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</si>
  <si>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</si>
  <si>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</si>
  <si>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</si>
  <si>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</si>
  <si>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</si>
  <si>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</si>
  <si>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</si>
  <si>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</si>
  <si>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</si>
  <si>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</si>
  <si>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</si>
  <si>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</si>
  <si>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</si>
  <si>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</si>
  <si>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</si>
  <si>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</si>
  <si>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</si>
  <si>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</si>
  <si>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</si>
  <si>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</si>
  <si>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</si>
  <si>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</si>
  <si>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</si>
  <si>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</si>
  <si>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</si>
  <si>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</si>
  <si>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</si>
  <si>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</si>
  <si>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</si>
  <si>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</si>
  <si>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</si>
  <si>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</si>
  <si>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</si>
  <si>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</si>
  <si>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</si>
  <si>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</si>
  <si>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</si>
  <si>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</si>
  <si>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</si>
  <si>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</si>
  <si>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</si>
  <si>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</si>
  <si>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</si>
  <si>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</si>
  <si>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</si>
  <si>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</si>
  <si>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</si>
  <si>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</si>
  <si>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</si>
  <si>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</si>
  <si>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</si>
  <si>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</si>
  <si>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</si>
  <si>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</si>
  <si>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</si>
  <si>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</si>
  <si>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</si>
  <si>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</si>
  <si>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</si>
  <si>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</si>
  <si>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</si>
  <si>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</si>
  <si>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</si>
  <si>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</si>
  <si>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</si>
  <si>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</si>
  <si>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</si>
  <si>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</si>
  <si>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</si>
  <si>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</si>
  <si>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</si>
  <si>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</si>
  <si>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</si>
  <si>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</si>
  <si>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</si>
  <si>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</si>
  <si>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</si>
  <si>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</si>
  <si>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</si>
  <si>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</si>
  <si>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</si>
  <si>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</si>
  <si>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</si>
  <si>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</si>
  <si>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</si>
  <si>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</si>
  <si>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</si>
  <si>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</si>
  <si>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</si>
  <si>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</si>
  <si>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</si>
  <si>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</si>
  <si>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</si>
  <si>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</si>
  <si>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</si>
  <si>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</si>
  <si>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</si>
  <si>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</si>
  <si>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</si>
  <si>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</si>
  <si>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</si>
  <si>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</si>
  <si>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</si>
  <si>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</si>
  <si>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</si>
  <si>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</si>
  <si>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</si>
  <si>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</si>
  <si>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</si>
  <si>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</si>
  <si>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</si>
  <si>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</si>
  <si>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</si>
  <si>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</si>
  <si>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</si>
  <si>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</si>
  <si>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</si>
  <si>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</si>
  <si>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</si>
  <si>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</si>
  <si>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</si>
  <si>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</si>
  <si>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</si>
  <si>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</si>
  <si>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</si>
  <si>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</si>
  <si>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</si>
  <si>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</si>
  <si>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</si>
  <si>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</si>
  <si>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</si>
  <si>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</si>
  <si>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</si>
  <si>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</si>
  <si>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</si>
  <si>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</si>
  <si>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</si>
  <si>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</si>
  <si>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</si>
  <si>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</si>
  <si>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</si>
  <si>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</si>
  <si>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</si>
  <si>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</si>
  <si>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</si>
  <si>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</si>
  <si>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</si>
  <si>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</si>
  <si>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</si>
  <si>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</si>
  <si>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</si>
  <si>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</si>
  <si>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</si>
  <si>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</si>
  <si>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</si>
  <si>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</si>
  <si>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</si>
  <si>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</si>
  <si>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</si>
  <si>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</si>
  <si>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</si>
  <si>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</si>
  <si>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</si>
  <si>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</si>
  <si>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</si>
  <si>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</si>
  <si>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</si>
  <si>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</si>
  <si>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</si>
  <si>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</si>
  <si>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</si>
  <si>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</si>
  <si>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</si>
  <si>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</si>
  <si>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</si>
  <si>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</si>
  <si>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</si>
  <si>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</si>
  <si>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</si>
  <si>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</si>
  <si>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</si>
  <si>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</si>
  <si>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</si>
  <si>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</si>
  <si>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</si>
  <si>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</si>
  <si>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</si>
  <si>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</si>
  <si>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</si>
  <si>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</si>
  <si>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</si>
  <si>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</si>
  <si>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</si>
  <si>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</si>
  <si>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</si>
  <si>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</si>
  <si>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</si>
  <si>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</si>
  <si>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</si>
  <si>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</si>
  <si>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</si>
  <si>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</si>
  <si>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</si>
  <si>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</si>
  <si>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</si>
  <si>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</si>
  <si>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</si>
  <si>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</si>
  <si>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</si>
  <si>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</si>
  <si>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</si>
  <si>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</si>
  <si>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</si>
  <si>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</si>
  <si>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</si>
  <si>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</si>
  <si>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</si>
  <si>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</si>
  <si>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</si>
  <si>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</si>
  <si>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</si>
  <si>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</si>
  <si>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</si>
  <si>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</si>
  <si>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</si>
  <si>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</si>
  <si>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</si>
  <si>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</si>
  <si>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</si>
  <si>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</si>
  <si>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</si>
  <si>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</si>
  <si>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</si>
  <si>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</si>
  <si>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</si>
  <si>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</si>
  <si>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</si>
  <si>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</si>
  <si>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</si>
  <si>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</si>
  <si>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</si>
  <si>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</si>
  <si>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</si>
  <si>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</si>
  <si>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</si>
  <si>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</si>
  <si>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</si>
  <si>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</si>
  <si>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</si>
  <si>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</si>
  <si>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</si>
  <si>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</si>
  <si>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</si>
  <si>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</si>
  <si>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</si>
  <si>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</si>
  <si>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</si>
  <si>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</si>
  <si>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</si>
  <si>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</si>
  <si>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</si>
  <si>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</si>
  <si>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</si>
  <si>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</si>
  <si>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</si>
  <si>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</si>
  <si>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</si>
  <si>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</si>
  <si>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</si>
  <si>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</si>
  <si>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</si>
  <si>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</si>
  <si>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</si>
  <si>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</si>
  <si>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</si>
  <si>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</si>
  <si>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</si>
  <si>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</si>
  <si>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</si>
  <si>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</si>
  <si>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</si>
  <si>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</si>
  <si>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</si>
  <si>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</si>
  <si>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</si>
  <si>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</si>
  <si>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</si>
  <si>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</si>
  <si>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</si>
  <si>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</si>
  <si>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</si>
  <si>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</si>
  <si>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</si>
  <si>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</si>
  <si>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</si>
  <si>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</si>
  <si>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</si>
  <si>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</si>
  <si>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</si>
  <si>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</si>
  <si>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</si>
  <si>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</si>
  <si>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</si>
  <si>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</si>
  <si>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</si>
  <si>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</si>
  <si>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</si>
  <si>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</si>
  <si>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</si>
  <si>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</si>
  <si>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</si>
  <si>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</si>
  <si>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</si>
  <si>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</si>
  <si>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</si>
  <si>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</si>
  <si>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</si>
  <si>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</si>
  <si>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</si>
  <si>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</si>
  <si>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</si>
  <si>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</si>
  <si>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</si>
  <si>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</si>
  <si>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</si>
  <si>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</si>
  <si>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</si>
  <si>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</si>
  <si>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</si>
  <si>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</si>
  <si>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</si>
  <si>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</si>
  <si>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</si>
  <si>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</si>
  <si>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</si>
  <si>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</si>
  <si>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</si>
  <si>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</si>
  <si>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</si>
  <si>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</si>
  <si>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</si>
  <si>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</si>
  <si>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</si>
  <si>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</si>
  <si>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</si>
  <si>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</si>
  <si>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</si>
  <si>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</si>
  <si>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</si>
  <si>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</si>
  <si>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</si>
  <si>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</si>
  <si>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</si>
  <si>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</si>
  <si>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</si>
  <si>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</si>
  <si>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</si>
  <si>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</si>
  <si>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</si>
  <si>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</si>
  <si>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</si>
  <si>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</si>
  <si>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</si>
  <si>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</si>
  <si>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</si>
  <si>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</si>
  <si>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</si>
  <si>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</si>
  <si>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</si>
  <si>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</si>
  <si>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</si>
  <si>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</si>
  <si>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</si>
  <si>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</si>
  <si>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</si>
  <si>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</si>
  <si>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</si>
  <si>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</si>
  <si>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</si>
  <si>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</si>
  <si>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</si>
  <si>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</si>
  <si>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</si>
  <si>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</si>
  <si>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</si>
  <si>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</si>
  <si>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</si>
  <si>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</si>
  <si>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</si>
  <si>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</si>
  <si>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</si>
  <si>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</si>
  <si>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</si>
  <si>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</si>
  <si>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</si>
  <si>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</si>
  <si>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</si>
  <si>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</si>
  <si>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</si>
  <si>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</si>
  <si>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</si>
  <si>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</si>
  <si>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</si>
  <si>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</si>
  <si>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</si>
  <si>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</si>
  <si>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</si>
  <si>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</si>
  <si>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</si>
  <si>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</si>
  <si>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</si>
  <si>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</si>
  <si>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</si>
  <si>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</si>
  <si>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</si>
  <si>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</si>
  <si>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</si>
  <si>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</si>
  <si>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</si>
  <si>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</si>
  <si>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</si>
  <si>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</si>
  <si>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</si>
  <si>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</si>
  <si>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</si>
  <si>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</si>
  <si>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</si>
  <si>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</si>
  <si>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</si>
  <si>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</si>
  <si>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</si>
  <si>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</si>
  <si>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</si>
  <si>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</si>
  <si>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</si>
  <si>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</si>
  <si>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</si>
  <si>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</si>
  <si>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</si>
  <si>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</si>
  <si>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</si>
  <si>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</si>
  <si>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</si>
  <si>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</si>
  <si>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</si>
  <si>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</si>
  <si>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</si>
  <si>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</si>
  <si>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</si>
  <si>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</si>
  <si>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</si>
  <si>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</si>
  <si>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</si>
  <si>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</si>
  <si>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</si>
  <si>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</si>
  <si>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</si>
  <si>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</si>
  <si>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</si>
  <si>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</si>
  <si>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</si>
  <si>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</si>
  <si>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</si>
  <si>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</si>
  <si>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</si>
  <si>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</si>
  <si>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</si>
  <si>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</si>
  <si>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</si>
  <si>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</si>
  <si>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</si>
  <si>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</si>
  <si>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</si>
  <si>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</si>
  <si>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</si>
  <si>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</si>
  <si>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</si>
  <si>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</si>
  <si>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</si>
  <si>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</si>
  <si>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</si>
  <si>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</si>
  <si>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</si>
  <si>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</si>
  <si>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</si>
  <si>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</si>
  <si>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</si>
  <si>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</si>
  <si>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</si>
  <si>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</si>
  <si>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</si>
  <si>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</si>
  <si>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</si>
  <si>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</si>
  <si>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</si>
  <si>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</si>
  <si>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</si>
  <si>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</si>
  <si>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</si>
  <si>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</si>
  <si>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</si>
  <si>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</si>
  <si>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</si>
  <si>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</si>
  <si>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</si>
  <si>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</si>
  <si>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</si>
  <si>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</si>
  <si>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</si>
  <si>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</si>
  <si>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</si>
  <si>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</si>
  <si>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</si>
  <si>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</si>
  <si>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</si>
  <si>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</si>
  <si>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</si>
  <si>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</si>
  <si>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</si>
  <si>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</si>
  <si>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</si>
  <si>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</si>
  <si>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</si>
  <si>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</si>
  <si>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</si>
  <si>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</si>
  <si>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</si>
  <si>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</si>
  <si>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</si>
  <si>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</si>
  <si>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</si>
  <si>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</si>
  <si>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</si>
  <si>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</si>
  <si>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</si>
  <si>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</si>
  <si>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</si>
  <si>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</si>
  <si>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</si>
  <si>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</si>
  <si>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</si>
  <si>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</si>
  <si>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</si>
  <si>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</si>
  <si>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</si>
  <si>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</si>
  <si>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</si>
  <si>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</si>
  <si>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</si>
  <si>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</si>
  <si>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</si>
  <si>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</si>
  <si>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</si>
  <si>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</si>
  <si>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</si>
  <si>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</si>
  <si>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</si>
  <si>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</si>
  <si>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</si>
  <si>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</si>
  <si>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</si>
  <si>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</si>
  <si>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</si>
  <si>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</si>
  <si>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</si>
  <si>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</si>
  <si>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</si>
  <si>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</si>
  <si>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</si>
  <si>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</si>
  <si>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</si>
  <si>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</si>
  <si>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</si>
  <si>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</si>
  <si>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</si>
  <si>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</si>
  <si>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</si>
  <si>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</si>
  <si>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</si>
  <si>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</si>
  <si>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</si>
  <si>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</si>
  <si>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</si>
  <si>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</si>
  <si>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</si>
  <si>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</si>
  <si>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</si>
  <si>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</si>
  <si>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</si>
  <si>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</si>
  <si>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</si>
  <si>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</si>
  <si>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</si>
  <si>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</si>
  <si>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</si>
  <si>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</si>
  <si>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</si>
  <si>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</si>
  <si>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</si>
  <si>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</si>
  <si>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</si>
  <si>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</si>
  <si>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</si>
  <si>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</si>
  <si>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</si>
  <si>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</si>
  <si>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</si>
  <si>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</si>
  <si>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</si>
  <si>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</si>
  <si>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</si>
  <si>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</si>
  <si>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</si>
  <si>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</si>
  <si>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</si>
  <si>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</si>
  <si>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</si>
  <si>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</si>
  <si>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</si>
  <si>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</si>
  <si>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</si>
  <si>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</si>
  <si>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</si>
  <si>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</si>
  <si>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</si>
  <si>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</si>
  <si>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</si>
  <si>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</si>
  <si>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</si>
  <si>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</si>
  <si>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</si>
  <si>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</si>
  <si>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</si>
  <si>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</si>
  <si>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</si>
  <si>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</si>
  <si>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</si>
  <si>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</si>
  <si>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</si>
  <si>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</si>
  <si>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</si>
  <si>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</si>
  <si>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</si>
  <si>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</si>
  <si>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</si>
  <si>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</si>
  <si>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</si>
  <si>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</si>
  <si>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</si>
  <si>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</si>
  <si>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</si>
  <si>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</si>
  <si>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</si>
  <si>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</si>
  <si>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</si>
  <si>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</si>
  <si>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</si>
  <si>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</si>
  <si>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</si>
  <si>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</si>
  <si>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</si>
  <si>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</si>
  <si>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</si>
  <si>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</si>
  <si>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</si>
  <si>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</si>
  <si>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</si>
  <si>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</si>
  <si>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</si>
  <si>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</si>
  <si>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</si>
  <si>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</si>
  <si>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</si>
  <si>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</si>
  <si>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</si>
  <si>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</si>
  <si>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</si>
  <si>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</si>
  <si>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</si>
  <si>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</si>
  <si>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</si>
  <si>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</si>
  <si>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</si>
  <si>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</si>
  <si>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</si>
  <si>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</si>
  <si>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</si>
  <si>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</si>
  <si>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</si>
  <si>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</si>
  <si>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</si>
  <si>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</si>
  <si>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</si>
  <si>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</si>
  <si>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</si>
  <si>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</si>
  <si>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</si>
  <si>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</si>
  <si>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</si>
  <si>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</si>
  <si>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</si>
  <si>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</si>
  <si>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</si>
  <si>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</si>
  <si>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</si>
  <si>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</si>
  <si>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</si>
  <si>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</si>
  <si>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</si>
  <si>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</si>
  <si>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</si>
  <si>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</si>
  <si>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</si>
  <si>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</si>
  <si>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</si>
  <si>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</si>
  <si>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</si>
  <si>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</si>
  <si>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</si>
  <si>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</si>
  <si>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</si>
  <si>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</si>
  <si>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</si>
  <si>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</si>
  <si>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</si>
  <si>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</si>
  <si>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</si>
  <si>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</si>
  <si>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</si>
  <si>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</si>
  <si>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</si>
  <si>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</si>
  <si>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</si>
  <si>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</si>
  <si>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</si>
  <si>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</si>
  <si>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</si>
  <si>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</si>
  <si>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</si>
  <si>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</si>
  <si>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</si>
  <si>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</si>
  <si>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</si>
  <si>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</si>
  <si>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</si>
  <si>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</si>
  <si>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</si>
  <si>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</si>
  <si>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</si>
  <si>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</si>
  <si>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</si>
  <si>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</si>
  <si>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</si>
  <si>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</si>
  <si>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</si>
  <si>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</si>
  <si>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</si>
  <si>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</si>
  <si>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</si>
  <si>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</si>
  <si>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</si>
  <si>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</si>
  <si>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</si>
  <si>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</si>
  <si>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</si>
  <si>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</si>
  <si>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</si>
  <si>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</si>
  <si>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</si>
  <si>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</si>
  <si>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</si>
  <si>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</si>
  <si>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</si>
  <si>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</si>
  <si>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</si>
  <si>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</si>
  <si>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</si>
  <si>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</si>
  <si>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</si>
  <si>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</si>
  <si>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</si>
  <si>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</si>
  <si>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</si>
  <si>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</si>
  <si>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</si>
  <si>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</si>
  <si>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</si>
  <si>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</si>
  <si>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</si>
  <si>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</si>
  <si>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</si>
  <si>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</si>
  <si>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</si>
  <si>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</si>
  <si>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</si>
  <si>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</si>
  <si>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</si>
  <si>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</si>
  <si>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</si>
  <si>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</si>
  <si>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</si>
  <si>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</si>
  <si>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</si>
  <si>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</si>
  <si>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</si>
  <si>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</si>
  <si>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</si>
  <si>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</si>
  <si>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</si>
  <si>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</si>
  <si>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</si>
  <si>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</si>
  <si>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</si>
  <si>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</si>
  <si>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</si>
  <si>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</si>
  <si>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</si>
  <si>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</si>
  <si>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</si>
  <si>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</si>
  <si>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</si>
  <si>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</si>
  <si>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</si>
  <si>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</si>
  <si>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</si>
  <si>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</si>
  <si>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</si>
  <si>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</si>
  <si>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</si>
  <si>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</si>
  <si>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</si>
  <si>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</si>
  <si>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</si>
  <si>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</si>
  <si>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</si>
  <si>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</si>
  <si>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</si>
  <si>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</si>
  <si>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</si>
  <si>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</si>
  <si>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</si>
  <si>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</si>
  <si>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</si>
  <si>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</si>
  <si>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</si>
  <si>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</si>
  <si>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</si>
  <si>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</si>
  <si>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</si>
  <si>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</si>
  <si>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</si>
  <si>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</si>
  <si>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</si>
  <si>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</si>
  <si>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</si>
  <si>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</si>
  <si>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</si>
  <si>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</si>
  <si>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</si>
  <si>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</si>
  <si>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</si>
  <si>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</si>
  <si>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</si>
  <si>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</si>
  <si>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</si>
  <si>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</si>
  <si>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</si>
  <si>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</si>
  <si>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</si>
  <si>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</si>
  <si>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</si>
  <si>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</si>
  <si>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</si>
  <si>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</si>
  <si>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</si>
  <si>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</si>
  <si>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</si>
  <si>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</si>
  <si>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</si>
  <si>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</si>
  <si>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</si>
  <si>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</si>
  <si>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</si>
  <si>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</si>
  <si>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</si>
  <si>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</si>
  <si>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</si>
  <si>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</si>
  <si>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</si>
  <si>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</si>
  <si>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</si>
  <si>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</si>
  <si>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</si>
  <si>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</si>
  <si>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</si>
  <si>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</si>
  <si>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</si>
  <si>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</si>
  <si>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</si>
  <si>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</si>
  <si>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</si>
  <si>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</si>
  <si>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</si>
  <si>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</si>
  <si>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</si>
  <si>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</si>
  <si>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</si>
  <si>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</si>
  <si>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</si>
  <si>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</si>
  <si>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</si>
  <si>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</si>
  <si>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</si>
  <si>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</si>
  <si>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</si>
  <si>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</si>
  <si>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</si>
  <si>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</si>
  <si>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</si>
  <si>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</si>
  <si>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</si>
  <si>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</si>
  <si>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</si>
  <si>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</si>
  <si>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</si>
  <si>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</si>
  <si>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</si>
  <si>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</si>
  <si>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</si>
  <si>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</si>
  <si>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</si>
  <si>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</si>
  <si>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</si>
  <si>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</si>
  <si>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</si>
  <si>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</si>
  <si>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</si>
  <si>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</si>
  <si>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</si>
  <si>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</si>
  <si>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</si>
  <si>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</si>
  <si>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</si>
  <si>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</si>
  <si>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</si>
  <si>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</si>
  <si>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</si>
  <si>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</si>
  <si>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</si>
  <si>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</si>
  <si>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</si>
  <si>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</si>
  <si>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</si>
  <si>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</si>
  <si>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</si>
  <si>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</si>
  <si>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</si>
  <si>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</si>
  <si>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</si>
  <si>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</si>
  <si>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</si>
  <si>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</si>
  <si>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</si>
  <si>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</si>
  <si>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</si>
  <si>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</si>
  <si>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</si>
  <si>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</si>
  <si>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</si>
  <si>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</si>
  <si>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</si>
  <si>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</si>
  <si>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</si>
  <si>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</si>
  <si>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</si>
  <si>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</si>
  <si>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</si>
  <si>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</si>
  <si>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</si>
  <si>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</si>
  <si>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</si>
  <si>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</si>
  <si>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</si>
  <si>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</si>
  <si>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</si>
  <si>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</si>
  <si>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</si>
  <si>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</si>
  <si>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</si>
  <si>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</si>
  <si>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</si>
  <si>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</si>
  <si>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</si>
  <si>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</si>
  <si>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</si>
  <si>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</si>
  <si>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</si>
  <si>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</si>
  <si>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</si>
  <si>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</si>
  <si>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</si>
  <si>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</si>
  <si>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</si>
  <si>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</si>
  <si>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</si>
  <si>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</si>
  <si>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</si>
  <si>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</si>
  <si>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</si>
  <si>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</si>
  <si>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</si>
  <si>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</si>
  <si>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</si>
  <si>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</si>
  <si>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</si>
  <si>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</si>
  <si>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</si>
  <si>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</si>
  <si>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</si>
  <si>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</si>
  <si>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</si>
  <si>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</si>
  <si>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</si>
  <si>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</si>
  <si>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</si>
  <si>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</si>
  <si>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</si>
  <si>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</si>
  <si>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</si>
  <si>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</si>
  <si>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</si>
  <si>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</si>
  <si>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</si>
  <si>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</si>
  <si>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</si>
  <si>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</si>
  <si>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</si>
  <si>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</si>
  <si>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</si>
  <si>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</si>
  <si>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</si>
  <si>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</si>
  <si>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</si>
  <si>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</si>
  <si>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</si>
  <si>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</si>
  <si>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</si>
  <si>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</si>
  <si>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</si>
  <si>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</si>
  <si>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</si>
  <si>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</si>
  <si>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</si>
  <si>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</si>
  <si>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</si>
  <si>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</si>
  <si>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</si>
  <si>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</si>
  <si>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</si>
  <si>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</si>
  <si>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</si>
  <si>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</si>
  <si>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</si>
  <si>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</si>
  <si>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</si>
  <si>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</si>
  <si>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</si>
  <si>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</si>
  <si>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</si>
  <si>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</si>
  <si>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</si>
  <si>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</si>
  <si>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</si>
  <si>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</si>
  <si>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</si>
  <si>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</si>
  <si>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</si>
  <si>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</si>
  <si>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</si>
  <si>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</si>
  <si>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</si>
  <si>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</si>
  <si>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</si>
  <si>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</si>
  <si>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</si>
  <si>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</si>
  <si>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</si>
  <si>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</si>
  <si>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</si>
  <si>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</si>
  <si>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</si>
  <si>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</si>
  <si>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</si>
  <si>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</si>
  <si>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</si>
  <si>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</si>
  <si>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</si>
  <si>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</si>
  <si>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</si>
  <si>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</si>
  <si>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</si>
  <si>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</si>
  <si>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</si>
  <si>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</si>
  <si>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</si>
  <si>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</si>
  <si>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</si>
  <si>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</si>
  <si>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</si>
  <si>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</si>
  <si>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</si>
  <si>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</si>
  <si>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</si>
  <si>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</si>
  <si>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</si>
  <si>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</si>
  <si>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</si>
  <si>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</si>
  <si>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</si>
  <si>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</si>
  <si>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</si>
  <si>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</si>
  <si>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</si>
  <si>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</si>
  <si>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</si>
  <si>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</si>
  <si>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</si>
  <si>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</si>
  <si>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</si>
  <si>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</si>
  <si>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</si>
  <si>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</si>
  <si>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</si>
  <si>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</si>
  <si>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</si>
  <si>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</si>
  <si>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</si>
  <si>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</si>
  <si>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</si>
  <si>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</si>
  <si>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</si>
  <si>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</si>
  <si>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</si>
  <si>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</si>
  <si>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</si>
  <si>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</si>
  <si>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</si>
  <si>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</si>
  <si>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</si>
  <si>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</si>
  <si>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</si>
  <si>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</si>
  <si>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</si>
  <si>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</si>
  <si>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</si>
  <si>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</si>
  <si>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</si>
  <si>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</si>
  <si>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</si>
  <si>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</si>
  <si>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</si>
  <si>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</si>
  <si>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</si>
  <si>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</si>
  <si>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</si>
  <si>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</si>
  <si>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</si>
  <si>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</si>
  <si>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</si>
  <si>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</si>
  <si>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</si>
  <si>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</si>
  <si>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</si>
  <si>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</si>
  <si>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</si>
  <si>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</si>
  <si>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</si>
  <si>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</si>
  <si>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</si>
  <si>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</si>
  <si>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</si>
  <si>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</si>
  <si>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</si>
  <si>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</si>
  <si>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</si>
  <si>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</si>
  <si>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</si>
  <si>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</si>
  <si>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</si>
  <si>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</si>
  <si>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</si>
  <si>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</si>
  <si>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</si>
  <si>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</si>
  <si>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</si>
  <si>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</si>
  <si>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</si>
  <si>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</si>
  <si>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</si>
  <si>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</si>
  <si>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</si>
  <si>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</si>
  <si>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</si>
  <si>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</si>
  <si>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</si>
  <si>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</si>
  <si>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</si>
  <si>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</si>
  <si>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</si>
  <si>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</si>
  <si>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</si>
  <si>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</si>
  <si>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</si>
  <si>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</si>
  <si>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</si>
  <si>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</si>
  <si>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</si>
  <si>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</si>
  <si>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</si>
  <si>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</si>
  <si>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</si>
  <si>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</si>
  <si>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</si>
  <si>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</si>
  <si>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</si>
  <si>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</si>
  <si>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</si>
  <si>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</si>
  <si>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</si>
  <si>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</si>
  <si>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</si>
  <si>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</si>
  <si>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</si>
  <si>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</si>
  <si>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</si>
  <si>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</si>
  <si>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</si>
  <si>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</si>
  <si>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</si>
  <si>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</si>
  <si>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</si>
  <si>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</si>
  <si>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</si>
  <si>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</si>
  <si>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</si>
  <si>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</si>
  <si>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</si>
  <si>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</si>
  <si>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</si>
  <si>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</si>
  <si>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</si>
  <si>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</si>
  <si>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</si>
  <si>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</si>
  <si>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</si>
  <si>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</si>
  <si>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</si>
  <si>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</si>
  <si>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</si>
  <si>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</si>
  <si>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</si>
  <si>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</si>
  <si>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</si>
  <si>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</si>
  <si>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</si>
  <si>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</si>
  <si>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</si>
  <si>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</si>
  <si>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</si>
  <si>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</si>
  <si>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</si>
  <si>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</si>
  <si>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</si>
  <si>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</si>
  <si>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</si>
  <si>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</si>
  <si>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</si>
  <si>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</si>
  <si>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</si>
  <si>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</si>
  <si>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</si>
  <si>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</si>
  <si>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</si>
  <si>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</si>
  <si>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</si>
  <si>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</si>
  <si>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</si>
  <si>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</si>
  <si>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</si>
  <si>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</si>
  <si>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</si>
  <si>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</si>
  <si>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</si>
  <si>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</si>
  <si>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</si>
  <si>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</si>
  <si>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</si>
  <si>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</si>
  <si>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</si>
  <si>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</si>
  <si>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</si>
  <si>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</si>
  <si>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</si>
  <si>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</si>
  <si>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</si>
  <si>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</si>
  <si>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</si>
  <si>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</si>
  <si>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</si>
  <si>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</si>
  <si>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</si>
  <si>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</si>
  <si>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</si>
  <si>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</si>
  <si>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</si>
  <si>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</si>
  <si>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</si>
  <si>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</si>
  <si>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</si>
  <si>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</si>
  <si>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</si>
  <si>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</si>
  <si>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</si>
  <si>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</si>
  <si>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</si>
  <si>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</si>
  <si>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</si>
  <si>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</si>
  <si>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</si>
  <si>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</si>
  <si>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</si>
  <si>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</si>
  <si>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</si>
  <si>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</si>
  <si>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</si>
  <si>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</si>
  <si>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</si>
  <si>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</si>
  <si>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</si>
  <si>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</si>
  <si>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</si>
  <si>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</si>
  <si>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</si>
  <si>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</si>
  <si>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</si>
  <si>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</si>
  <si>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</si>
  <si>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</si>
  <si>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</si>
  <si>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</si>
  <si>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</si>
  <si>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</si>
  <si>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</si>
  <si>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</si>
  <si>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</si>
  <si>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</si>
  <si>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</si>
  <si>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</si>
  <si>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</si>
  <si>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</si>
  <si>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</si>
  <si>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</si>
  <si>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</si>
  <si>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</si>
  <si>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</si>
  <si>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</si>
  <si>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</si>
  <si>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</si>
  <si>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</si>
  <si>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</si>
  <si>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</si>
  <si>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</si>
  <si>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</si>
  <si>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</si>
  <si>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</si>
  <si>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</si>
  <si>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</si>
  <si>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</si>
  <si>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</si>
  <si>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</si>
  <si>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</si>
  <si>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</si>
  <si>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</si>
  <si>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</si>
  <si>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</si>
  <si>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</si>
  <si>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</si>
  <si>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</si>
  <si>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</si>
  <si>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</si>
  <si>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</si>
  <si>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</si>
  <si>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</si>
  <si>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</si>
  <si>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</si>
  <si>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</si>
  <si>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</si>
  <si>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</si>
  <si>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</si>
  <si>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</si>
  <si>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</si>
  <si>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</si>
  <si>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</si>
  <si>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</si>
  <si>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</si>
  <si>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</si>
  <si>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</si>
  <si>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</si>
  <si>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</si>
  <si>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</si>
  <si>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</si>
  <si>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</si>
  <si>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</si>
  <si>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</si>
  <si>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</si>
  <si>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</si>
  <si>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</si>
  <si>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</si>
  <si>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</si>
  <si>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</si>
  <si>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</si>
  <si>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</si>
  <si>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</si>
  <si>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</si>
  <si>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</si>
  <si>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</si>
  <si>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</si>
  <si>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</si>
  <si>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</si>
  <si>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</si>
  <si>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</si>
  <si>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</si>
  <si>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</si>
  <si>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</si>
  <si>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</si>
  <si>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</si>
  <si>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</si>
  <si>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</si>
  <si>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</si>
  <si>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</si>
  <si>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</si>
  <si>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</si>
  <si>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</si>
  <si>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</si>
  <si>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</si>
  <si>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</si>
  <si>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</si>
  <si>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</si>
  <si>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</si>
  <si>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</si>
  <si>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</si>
  <si>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</si>
  <si>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</si>
  <si>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</si>
  <si>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</si>
  <si>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</si>
  <si>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</si>
  <si>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</si>
  <si>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</si>
  <si>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</si>
  <si>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</si>
  <si>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</si>
  <si>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</si>
  <si>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</si>
  <si>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</si>
  <si>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</si>
  <si>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</si>
  <si>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</si>
  <si>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</si>
  <si>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</si>
  <si>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</si>
  <si>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</si>
  <si>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</si>
  <si>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</si>
  <si>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</si>
  <si>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</si>
  <si>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</si>
  <si>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</si>
  <si>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</si>
  <si>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</si>
  <si>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</si>
  <si>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</si>
  <si>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</si>
  <si>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</si>
  <si>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</si>
  <si>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</si>
  <si>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</si>
  <si>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</si>
  <si>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</si>
  <si>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</si>
  <si>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</si>
  <si>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</si>
  <si>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</si>
  <si>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</si>
  <si>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</si>
  <si>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</si>
  <si>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</si>
  <si>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</si>
  <si>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</si>
  <si>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</si>
  <si>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</si>
  <si>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</si>
  <si>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</si>
  <si>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</si>
  <si>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</si>
  <si>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</si>
  <si>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</si>
  <si>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</si>
  <si>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</si>
  <si>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</si>
  <si>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</si>
  <si>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</si>
  <si>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</si>
  <si>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</si>
  <si>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</si>
  <si>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</si>
  <si>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</si>
  <si>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</si>
  <si>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</si>
  <si>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</si>
  <si>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</si>
  <si>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</si>
  <si>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</si>
  <si>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</si>
  <si>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</si>
  <si>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</si>
  <si>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</si>
  <si>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</si>
  <si>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</si>
  <si>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</si>
  <si>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</si>
  <si>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</si>
  <si>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</si>
  <si>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</si>
  <si>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</si>
  <si>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</si>
  <si>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</si>
  <si>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</si>
  <si>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</si>
  <si>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</si>
  <si>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</si>
  <si>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</si>
  <si>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</si>
  <si>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</si>
  <si>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</si>
  <si>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</si>
  <si>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</si>
  <si>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</si>
  <si>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</si>
  <si>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</si>
  <si>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</si>
  <si>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</si>
  <si>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</si>
  <si>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</si>
  <si>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</si>
  <si>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</si>
  <si>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</si>
  <si>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</si>
  <si>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</si>
  <si>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</si>
  <si>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</si>
  <si>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</si>
  <si>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</si>
  <si>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</si>
  <si>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</si>
  <si>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</si>
  <si>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</si>
  <si>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</si>
  <si>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</si>
  <si>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</si>
  <si>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</si>
  <si>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</si>
  <si>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</si>
  <si>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</si>
  <si>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</si>
  <si>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</si>
  <si>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</si>
  <si>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</si>
  <si>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</si>
  <si>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</si>
  <si>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</si>
  <si>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</si>
  <si>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</si>
  <si>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</si>
  <si>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</si>
  <si>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</si>
  <si>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</si>
  <si>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</si>
  <si>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</si>
  <si>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</si>
  <si>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</si>
  <si>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</si>
  <si>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</si>
  <si>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</si>
  <si>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</si>
  <si>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</si>
  <si>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</si>
  <si>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</si>
  <si>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</si>
  <si>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</si>
  <si>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</si>
  <si>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</si>
  <si>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</si>
  <si>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</si>
  <si>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</si>
  <si>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</si>
  <si>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</si>
  <si>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</si>
  <si>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</si>
  <si>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</si>
  <si>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</si>
  <si>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</si>
  <si>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</si>
  <si>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</si>
  <si>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</si>
  <si>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</si>
  <si>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</si>
  <si>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</si>
  <si>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</si>
  <si>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</si>
  <si>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</si>
  <si>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</si>
  <si>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</si>
  <si>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</si>
  <si>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</si>
  <si>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</si>
  <si>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</si>
  <si>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</si>
  <si>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</si>
  <si>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</si>
  <si>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</si>
  <si>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</si>
  <si>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</si>
  <si>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</si>
  <si>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</si>
  <si>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</si>
  <si>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</si>
  <si>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</si>
  <si>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</si>
  <si>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</si>
  <si>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</si>
  <si>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</si>
  <si>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</si>
  <si>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</si>
  <si>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</si>
  <si>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</si>
  <si>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</si>
  <si>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</si>
  <si>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</si>
  <si>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</si>
  <si>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</si>
  <si>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</si>
  <si>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</si>
  <si>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</si>
  <si>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</si>
  <si>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</si>
  <si>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</si>
  <si>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</si>
  <si>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</si>
  <si>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</si>
  <si>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</si>
  <si>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</si>
  <si>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</si>
  <si>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</si>
  <si>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</si>
  <si>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</si>
  <si>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</si>
  <si>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</si>
  <si>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</si>
  <si>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</si>
  <si>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</si>
  <si>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</si>
  <si>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</si>
  <si>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</si>
  <si>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</si>
  <si>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</si>
  <si>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</si>
  <si>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</si>
  <si>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</si>
  <si>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</si>
  <si>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</si>
  <si>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</si>
  <si>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</si>
  <si>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</si>
  <si>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</si>
  <si>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</si>
  <si>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</si>
  <si>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</si>
  <si>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</si>
  <si>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</si>
  <si>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</si>
  <si>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</si>
  <si>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</si>
  <si>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</si>
  <si>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</si>
  <si>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</si>
  <si>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</si>
  <si>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</si>
  <si>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</si>
  <si>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</si>
  <si>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</si>
  <si>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</si>
  <si>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</si>
  <si>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</si>
  <si>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</si>
  <si>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</si>
  <si>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</si>
  <si>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</si>
  <si>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</si>
  <si>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</si>
  <si>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</si>
  <si>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</si>
  <si>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</si>
  <si>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</si>
  <si>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</si>
  <si>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</si>
  <si>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</si>
  <si>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</si>
  <si>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</si>
  <si>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</si>
  <si>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</si>
  <si>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</si>
  <si>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</si>
  <si>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</si>
  <si>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</si>
  <si>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</si>
  <si>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</si>
  <si>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</si>
  <si>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</si>
  <si>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</si>
  <si>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</si>
  <si>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</si>
  <si>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</si>
  <si>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</si>
  <si>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</si>
  <si>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</si>
  <si>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</si>
  <si>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</si>
  <si>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</si>
  <si>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</si>
  <si>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</si>
  <si>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</si>
  <si>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</si>
  <si>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</si>
  <si>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</si>
  <si>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</si>
  <si>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</si>
  <si>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</si>
  <si>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</si>
  <si>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</si>
  <si>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</si>
  <si>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</si>
  <si>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</si>
  <si>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</si>
  <si>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</si>
  <si>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</si>
  <si>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</si>
  <si>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</si>
  <si>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</si>
  <si>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</si>
  <si>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</si>
  <si>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</si>
  <si>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</si>
  <si>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</si>
  <si>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</si>
  <si>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</si>
  <si>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</si>
  <si>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</si>
  <si>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</si>
  <si>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</si>
  <si>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</si>
  <si>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</si>
  <si>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</si>
  <si>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</si>
  <si>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</si>
  <si>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</si>
  <si>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</si>
  <si>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</si>
  <si>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</si>
  <si>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</si>
  <si>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</si>
  <si>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</si>
  <si>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</si>
  <si>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</si>
  <si>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</si>
  <si>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</si>
  <si>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</si>
  <si>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</si>
  <si>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</si>
  <si>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</si>
  <si>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</si>
  <si>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</si>
  <si>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</si>
  <si>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</si>
  <si>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</si>
  <si>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</si>
  <si>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</si>
  <si>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</si>
  <si>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</si>
  <si>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</si>
  <si>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</si>
  <si>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</si>
  <si>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</si>
  <si>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</si>
  <si>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</si>
  <si>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</si>
  <si>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</si>
  <si>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</si>
  <si>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</si>
  <si>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</si>
  <si>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</si>
  <si>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</si>
  <si>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</si>
  <si>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</si>
  <si>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</si>
  <si>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</si>
  <si>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</si>
  <si>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</si>
  <si>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</si>
  <si>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</si>
  <si>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</si>
  <si>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</si>
  <si>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</si>
  <si>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</si>
  <si>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</si>
  <si>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</si>
  <si>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</si>
  <si>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</si>
  <si>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</si>
  <si>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</si>
  <si>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</si>
  <si>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</si>
  <si>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</si>
  <si>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</si>
  <si>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</si>
  <si>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</si>
  <si>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</si>
  <si>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</si>
  <si>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</si>
  <si>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</si>
  <si>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</si>
  <si>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</si>
  <si>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</si>
  <si>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</si>
  <si>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</si>
  <si>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</si>
  <si>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</si>
  <si>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</si>
  <si>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</si>
  <si>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</si>
  <si>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</si>
  <si>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</si>
  <si>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</si>
  <si>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</si>
  <si>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</si>
  <si>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</si>
  <si>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</si>
  <si>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</si>
  <si>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</si>
  <si>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</si>
  <si>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</si>
  <si>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</si>
  <si>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</si>
  <si>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</si>
  <si>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</si>
  <si>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</si>
  <si>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</si>
  <si>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</si>
  <si>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</si>
  <si>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</si>
  <si>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</si>
  <si>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</si>
  <si>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</si>
  <si>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</si>
  <si>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</si>
  <si>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</si>
  <si>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</si>
  <si>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</si>
  <si>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</si>
  <si>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</si>
  <si>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</si>
  <si>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</si>
  <si>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</si>
  <si>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</si>
  <si>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</si>
  <si>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</si>
  <si>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</si>
  <si>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</si>
  <si>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</si>
  <si>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</si>
  <si>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</si>
  <si>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</si>
  <si>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</si>
  <si>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</si>
  <si>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</si>
  <si>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</si>
  <si>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</si>
  <si>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</si>
  <si>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</si>
  <si>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</si>
  <si>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</si>
  <si>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</si>
  <si>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</si>
  <si>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</si>
  <si>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</si>
  <si>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</si>
  <si>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</si>
  <si>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</si>
  <si>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</si>
  <si>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</si>
  <si>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</si>
  <si>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</si>
  <si>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</si>
  <si>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</si>
  <si>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</si>
  <si>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</si>
  <si>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</si>
  <si>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</si>
  <si>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</si>
  <si>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</si>
  <si>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</si>
  <si>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</si>
  <si>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</si>
  <si>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</si>
  <si>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</si>
  <si>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</si>
  <si>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</si>
  <si>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</si>
  <si>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</si>
  <si>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</si>
  <si>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</si>
  <si>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</si>
  <si>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</si>
  <si>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</si>
  <si>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</si>
  <si>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</si>
  <si>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</si>
  <si>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</si>
  <si>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</si>
  <si>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</si>
  <si>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</si>
  <si>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</si>
  <si>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</si>
  <si>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</si>
  <si>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</si>
  <si>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</si>
  <si>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</si>
  <si>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</si>
  <si>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</si>
  <si>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</si>
  <si>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</si>
  <si>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</si>
  <si>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</si>
  <si>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</si>
  <si>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</si>
  <si>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</si>
  <si>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</si>
  <si>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</si>
  <si>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</si>
  <si>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</si>
  <si>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</si>
  <si>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</si>
  <si>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</si>
  <si>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</si>
  <si>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</si>
  <si>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</si>
  <si>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</si>
  <si>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</si>
  <si>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</si>
  <si>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</si>
  <si>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</si>
  <si>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</si>
  <si>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</si>
  <si>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</si>
  <si>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</si>
  <si>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</si>
  <si>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</si>
  <si>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</si>
  <si>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</si>
  <si>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</si>
  <si>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</si>
  <si>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</si>
  <si>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</si>
  <si>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</si>
  <si>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</si>
  <si>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</si>
  <si>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</si>
  <si>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</si>
  <si>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</si>
  <si>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</si>
  <si>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</si>
  <si>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</si>
  <si>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</si>
  <si>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</si>
  <si>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</si>
  <si>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</si>
  <si>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</si>
  <si>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</si>
  <si>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</si>
  <si>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</si>
  <si>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</si>
  <si>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</si>
  <si>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</si>
  <si>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</si>
  <si>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</si>
  <si>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</si>
  <si>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</si>
  <si>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</si>
  <si>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</si>
  <si>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</si>
  <si>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</si>
  <si>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</si>
  <si>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</si>
  <si>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</si>
  <si>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</si>
  <si>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</si>
  <si>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</si>
  <si>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</si>
  <si>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</si>
  <si>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</si>
  <si>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</si>
  <si>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</si>
  <si>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</si>
  <si>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</si>
  <si>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</si>
  <si>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</si>
  <si>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</si>
  <si>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</si>
  <si>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</si>
  <si>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</si>
  <si>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</si>
  <si>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</si>
  <si>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</si>
  <si>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</si>
  <si>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</si>
  <si>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</si>
  <si>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</si>
  <si>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</si>
  <si>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</si>
  <si>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</si>
  <si>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</si>
  <si>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</si>
  <si>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</si>
  <si>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</si>
  <si>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</si>
  <si>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</si>
  <si>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</si>
  <si>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</si>
  <si>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</si>
  <si>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</si>
  <si>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</si>
  <si>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</si>
  <si>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</si>
  <si>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</si>
  <si>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</si>
  <si>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</si>
  <si>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</si>
  <si>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</si>
  <si>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</si>
  <si>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</si>
  <si>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</si>
  <si>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</si>
  <si>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</si>
  <si>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</si>
  <si>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</si>
  <si>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</si>
  <si>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</si>
  <si>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</si>
  <si>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</si>
  <si>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</si>
  <si>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</si>
  <si>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</si>
  <si>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</si>
  <si>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</si>
  <si>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</si>
  <si>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</si>
  <si>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</si>
  <si>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</si>
  <si>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</si>
  <si>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</si>
  <si>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</si>
  <si>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</si>
  <si>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</si>
  <si>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</si>
  <si>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</si>
  <si>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</si>
  <si>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</si>
  <si>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</si>
  <si>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</si>
  <si>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</si>
  <si>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</si>
  <si>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</si>
  <si>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</si>
  <si>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</si>
  <si>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</si>
  <si>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</si>
  <si>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</si>
  <si>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</si>
  <si>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</si>
  <si>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</si>
  <si>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</si>
  <si>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</si>
  <si>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</si>
  <si>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</si>
  <si>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</si>
  <si>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</si>
  <si>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</si>
  <si>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</si>
  <si>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</si>
  <si>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</si>
  <si>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</si>
  <si>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</si>
  <si>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</si>
  <si>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</si>
  <si>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</si>
  <si>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</si>
  <si>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</si>
  <si>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</si>
  <si>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</si>
  <si>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</si>
  <si>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</si>
  <si>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</si>
  <si>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</si>
  <si>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</si>
  <si>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</si>
  <si>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</si>
  <si>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</si>
  <si>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</si>
  <si>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</si>
  <si>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</si>
  <si>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</si>
  <si>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</si>
  <si>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</si>
  <si>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</si>
  <si>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</si>
  <si>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</si>
  <si>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</si>
  <si>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</si>
  <si>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</si>
  <si>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</si>
  <si>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</si>
  <si>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</si>
  <si>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</si>
  <si>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</si>
  <si>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</si>
  <si>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</si>
  <si>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</si>
  <si>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</si>
  <si>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</si>
  <si>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</si>
  <si>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</si>
  <si>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</si>
  <si>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</si>
  <si>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</si>
  <si>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</si>
  <si>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</si>
  <si>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</si>
  <si>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</si>
  <si>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</si>
  <si>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</si>
  <si>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</si>
  <si>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</si>
  <si>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</si>
  <si>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</si>
  <si>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</si>
  <si>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</si>
  <si>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</si>
  <si>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</si>
  <si>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</si>
  <si>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</si>
  <si>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</si>
  <si>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</si>
  <si>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</si>
  <si>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</si>
  <si>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</si>
  <si>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</si>
  <si>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</si>
  <si>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</si>
  <si>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</si>
  <si>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</si>
  <si>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</si>
  <si>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</si>
  <si>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</si>
  <si>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</si>
  <si>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</si>
  <si>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</si>
  <si>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</si>
  <si>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</si>
  <si>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</si>
  <si>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</si>
  <si>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</si>
  <si>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</si>
  <si>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</si>
  <si>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</si>
  <si>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</si>
  <si>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</si>
  <si>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</si>
  <si>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</si>
  <si>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</si>
  <si>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</si>
  <si>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</si>
  <si>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</si>
  <si>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</si>
  <si>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</si>
  <si>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</si>
  <si>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</si>
  <si>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</si>
  <si>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</si>
  <si>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</si>
  <si>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</si>
  <si>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</si>
  <si>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</si>
  <si>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</si>
  <si>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</si>
  <si>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</si>
  <si>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</si>
  <si>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</si>
  <si>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</si>
  <si>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</si>
  <si>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</si>
  <si>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</si>
  <si>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</si>
  <si>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</si>
  <si>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</si>
  <si>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</si>
  <si>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</si>
  <si>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</si>
  <si>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</si>
  <si>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</si>
  <si>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</si>
  <si>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</si>
  <si>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</si>
  <si>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</si>
  <si>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</si>
  <si>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</si>
  <si>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</si>
  <si>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</si>
  <si>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</si>
  <si>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</si>
  <si>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</si>
  <si>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</si>
  <si>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</si>
  <si>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</si>
  <si>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</si>
  <si>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</si>
  <si>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</si>
  <si>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</si>
  <si>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</si>
  <si>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</si>
  <si>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</si>
  <si>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</si>
  <si>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</si>
  <si>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</si>
  <si>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</si>
  <si>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</si>
  <si>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</si>
  <si>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</si>
  <si>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</si>
  <si>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</si>
  <si>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</si>
  <si>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</si>
  <si>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</si>
  <si>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</si>
  <si>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</si>
  <si>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</si>
  <si>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</si>
  <si>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</si>
  <si>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</si>
  <si>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</si>
  <si>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</si>
  <si>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</si>
  <si>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</si>
  <si>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</si>
  <si>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</si>
  <si>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</si>
  <si>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</si>
  <si>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</si>
  <si>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</si>
  <si>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</si>
  <si>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</si>
  <si>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</si>
  <si>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</si>
  <si>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</si>
  <si>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</si>
  <si>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</si>
  <si>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</si>
  <si>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</si>
  <si>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</si>
  <si>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</si>
  <si>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</si>
  <si>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</si>
  <si>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</si>
  <si>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</si>
  <si>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</si>
  <si>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</si>
  <si>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</si>
  <si>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</si>
  <si>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</si>
  <si>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</si>
  <si>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</si>
  <si>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</si>
  <si>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</si>
  <si>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</si>
  <si>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</si>
  <si>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</si>
  <si>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</si>
  <si>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</si>
  <si>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</si>
  <si>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</si>
  <si>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</si>
  <si>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</si>
  <si>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</si>
  <si>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</si>
  <si>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</si>
  <si>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</si>
  <si>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</si>
  <si>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</si>
  <si>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</si>
  <si>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</si>
  <si>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</si>
  <si>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</si>
  <si>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</si>
  <si>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</si>
  <si>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</si>
  <si>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</si>
  <si>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</si>
  <si>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</si>
  <si>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</si>
  <si>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</si>
  <si>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</si>
  <si>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</si>
  <si>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</si>
  <si>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</si>
  <si>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</si>
  <si>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</si>
  <si>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</si>
  <si>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</si>
  <si>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</si>
  <si>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</si>
  <si>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</si>
  <si>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</si>
  <si>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</si>
  <si>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</si>
  <si>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</si>
  <si>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</si>
  <si>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</si>
  <si>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</si>
  <si>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</si>
  <si>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</si>
  <si>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</si>
  <si>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</si>
  <si>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</si>
  <si>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</si>
  <si>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</si>
  <si>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</si>
  <si>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</si>
  <si>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</si>
  <si>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</si>
  <si>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</si>
  <si>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</si>
  <si>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</si>
  <si>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</si>
  <si>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</si>
  <si>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</si>
  <si>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</si>
  <si>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</si>
  <si>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</si>
  <si>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</si>
  <si>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</si>
  <si>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</si>
  <si>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</si>
  <si>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</si>
  <si>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</si>
  <si>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</si>
  <si>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</si>
  <si>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</si>
  <si>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</si>
  <si>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</si>
  <si>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</si>
  <si>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</si>
  <si>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</si>
  <si>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</si>
  <si>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</si>
  <si>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</si>
  <si>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</si>
  <si>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</si>
  <si>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</si>
  <si>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</si>
  <si>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</si>
  <si>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</si>
  <si>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</si>
  <si>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</si>
  <si>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</si>
  <si>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</si>
  <si>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</si>
  <si>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</si>
  <si>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</si>
  <si>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</si>
  <si>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</si>
  <si>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</si>
  <si>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</si>
  <si>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</si>
  <si>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</si>
  <si>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</si>
  <si>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</si>
  <si>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</si>
  <si>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</si>
  <si>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</si>
  <si>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</si>
  <si>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</si>
  <si>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</si>
  <si>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</si>
  <si>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</si>
  <si>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</si>
  <si>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</si>
  <si>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</si>
  <si>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</si>
  <si>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</si>
  <si>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</si>
  <si>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</si>
  <si>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</si>
  <si>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</si>
  <si>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</si>
  <si>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</si>
  <si>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</si>
  <si>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</si>
  <si>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</si>
  <si>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</si>
  <si>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</si>
  <si>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</si>
  <si>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</si>
  <si>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</si>
  <si>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</si>
  <si>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</si>
  <si>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</si>
  <si>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</si>
  <si>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</si>
  <si>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</si>
  <si>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</si>
  <si>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</si>
  <si>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</si>
  <si>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</si>
  <si>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</si>
  <si>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</si>
  <si>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</si>
  <si>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</si>
  <si>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</si>
  <si>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</si>
  <si>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</si>
  <si>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</si>
  <si>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</si>
  <si>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</si>
  <si>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</si>
  <si>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</si>
  <si>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</si>
  <si>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</si>
  <si>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</si>
  <si>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</si>
  <si>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</si>
  <si>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</si>
  <si>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</si>
  <si>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</si>
  <si>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</si>
  <si>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</si>
  <si>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</si>
  <si>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</si>
  <si>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</si>
  <si>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</si>
  <si>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</si>
  <si>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</si>
  <si>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</si>
  <si>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</si>
  <si>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</si>
  <si>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</si>
  <si>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</si>
  <si>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</si>
  <si>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</si>
  <si>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</si>
  <si>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</si>
  <si>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</si>
  <si>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</si>
  <si>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</si>
  <si>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</si>
  <si>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</si>
  <si>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</si>
  <si>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</si>
  <si>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</si>
  <si>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</si>
  <si>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</si>
  <si>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</si>
  <si>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</si>
  <si>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</si>
  <si>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</si>
  <si>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</si>
  <si>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</si>
  <si>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</si>
  <si>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</si>
  <si>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</si>
  <si>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</si>
  <si>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</si>
  <si>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</si>
  <si>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</si>
  <si>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</si>
  <si>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</si>
  <si>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</si>
  <si>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</si>
  <si>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</si>
  <si>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</si>
  <si>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</si>
  <si>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</si>
  <si>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</si>
  <si>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</si>
  <si>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</si>
  <si>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</si>
  <si>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</si>
  <si>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</si>
  <si>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</si>
  <si>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</si>
  <si>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</si>
  <si>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</si>
  <si>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</si>
  <si>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</si>
  <si>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</si>
  <si>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</si>
  <si>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</si>
  <si>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</si>
  <si>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</si>
  <si>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</si>
  <si>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</si>
  <si>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</si>
  <si>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</si>
  <si>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</si>
  <si>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</si>
  <si>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</si>
  <si>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</si>
  <si>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</si>
  <si>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</si>
  <si>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</si>
  <si>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</si>
  <si>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</si>
  <si>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</si>
  <si>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</si>
  <si>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</si>
  <si>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</si>
  <si>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</si>
  <si>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</si>
  <si>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</si>
  <si>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</si>
  <si>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</si>
  <si>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</si>
  <si>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</si>
  <si>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</si>
  <si>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</si>
  <si>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</si>
  <si>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</si>
  <si>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</si>
  <si>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</si>
  <si>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</si>
  <si>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</si>
  <si>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</si>
  <si>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</si>
  <si>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</si>
  <si>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</si>
  <si>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</si>
  <si>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</si>
  <si>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</si>
  <si>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</si>
  <si>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</si>
  <si>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</si>
  <si>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</si>
  <si>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</si>
  <si>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</si>
  <si>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</si>
  <si>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</si>
  <si>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</si>
  <si>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</si>
  <si>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</si>
  <si>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</si>
  <si>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</si>
  <si>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</si>
  <si>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</si>
  <si>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</si>
  <si>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</si>
  <si>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</si>
  <si>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</si>
  <si>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</si>
  <si>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</si>
  <si>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</si>
  <si>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</si>
  <si>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</si>
  <si>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</si>
  <si>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</si>
  <si>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</si>
  <si>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</si>
  <si>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</si>
  <si>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</si>
  <si>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</si>
  <si>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</si>
  <si>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</si>
  <si>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</si>
  <si>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</si>
  <si>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</si>
  <si>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</si>
  <si>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</si>
  <si>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</si>
  <si>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</si>
  <si>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</si>
  <si>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</si>
  <si>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</si>
  <si>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</si>
  <si>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</si>
  <si>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</si>
  <si>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</si>
  <si>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</si>
  <si>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</si>
  <si>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</si>
  <si>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</si>
  <si>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</si>
  <si>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</si>
  <si>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</si>
  <si>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</si>
  <si>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</si>
  <si>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</si>
  <si>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</si>
  <si>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</si>
  <si>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</si>
  <si>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</si>
  <si>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</si>
  <si>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</si>
  <si>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</si>
  <si>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</si>
  <si>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</si>
  <si>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</si>
  <si>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</si>
  <si>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</si>
  <si>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</si>
  <si>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</si>
  <si>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</si>
  <si>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</si>
  <si>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</si>
  <si>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</si>
  <si>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</si>
  <si>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</si>
  <si>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</si>
  <si>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</si>
  <si>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</si>
  <si>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</si>
  <si>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</si>
  <si>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</si>
  <si>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</si>
  <si>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</si>
  <si>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</si>
  <si>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</si>
  <si>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</si>
  <si>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</si>
  <si>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</si>
  <si>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</si>
  <si>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</si>
  <si>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</si>
  <si>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</si>
  <si>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</si>
  <si>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</si>
  <si>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</si>
  <si>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</si>
  <si>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</si>
  <si>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</si>
  <si>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</si>
  <si>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</si>
  <si>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</si>
  <si>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</si>
  <si>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</si>
  <si>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</si>
  <si>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</si>
  <si>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</si>
  <si>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</si>
  <si>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</si>
  <si>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</si>
  <si>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</si>
  <si>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</si>
  <si>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</si>
  <si>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</si>
  <si>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</si>
  <si>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</si>
  <si>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</si>
  <si>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</si>
  <si>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</si>
  <si>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</si>
  <si>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</si>
  <si>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</si>
  <si>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</si>
  <si>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</si>
  <si>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</si>
  <si>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</si>
  <si>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</si>
  <si>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</si>
  <si>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</si>
  <si>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</si>
  <si>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</si>
  <si>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</si>
  <si>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</si>
  <si>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</si>
  <si>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</si>
  <si>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</si>
  <si>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</si>
  <si>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</si>
  <si>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</si>
  <si>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</si>
  <si>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</si>
  <si>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</si>
  <si>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</si>
  <si>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</si>
  <si>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</si>
  <si>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</si>
  <si>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</si>
  <si>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</si>
  <si>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</si>
  <si>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</si>
  <si>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</si>
  <si>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</si>
  <si>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</si>
  <si>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</si>
  <si>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</si>
  <si>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</si>
  <si>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</si>
  <si>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</si>
  <si>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</si>
  <si>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</si>
  <si>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</si>
  <si>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</si>
  <si>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</si>
  <si>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</si>
  <si>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</si>
  <si>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</si>
  <si>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</si>
  <si>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</si>
  <si>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</si>
  <si>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</si>
  <si>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</si>
  <si>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</si>
  <si>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</si>
  <si>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</si>
  <si>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</si>
  <si>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</si>
  <si>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</si>
  <si>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</si>
  <si>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</si>
  <si>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</si>
  <si>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</si>
  <si>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</si>
  <si>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</si>
  <si>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</si>
  <si>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</si>
  <si>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</si>
  <si>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</si>
  <si>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</si>
  <si>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</si>
  <si>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</si>
  <si>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</si>
  <si>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</si>
  <si>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</si>
  <si>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</si>
  <si>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</si>
  <si>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</si>
  <si>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</si>
  <si>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</si>
  <si>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</si>
  <si>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</si>
  <si>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</si>
  <si>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</si>
  <si>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</si>
  <si>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</si>
  <si>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</si>
  <si>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</si>
  <si>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</si>
  <si>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</si>
  <si>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</si>
  <si>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</si>
  <si>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</si>
  <si>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</si>
  <si>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</si>
  <si>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</si>
  <si>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</si>
  <si>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</si>
  <si>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</si>
  <si>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</si>
  <si>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</si>
  <si>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</si>
  <si>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</si>
  <si>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</si>
  <si>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</si>
  <si>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</si>
  <si>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</si>
  <si>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</si>
  <si>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</si>
  <si>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</si>
  <si>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</si>
  <si>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</si>
  <si>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</si>
  <si>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</si>
  <si>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</si>
  <si>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</si>
  <si>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</si>
  <si>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</si>
  <si>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</si>
  <si>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</si>
  <si>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</si>
  <si>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</si>
  <si>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</si>
  <si>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</si>
  <si>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</si>
  <si>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</si>
  <si>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</si>
  <si>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</si>
  <si>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</si>
  <si>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</si>
  <si>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</si>
  <si>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</si>
  <si>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</si>
  <si>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</si>
  <si>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</si>
  <si>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</si>
  <si>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</si>
  <si>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</si>
  <si>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</si>
  <si>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</si>
  <si>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</si>
  <si>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</si>
  <si>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</si>
  <si>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</si>
  <si>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</si>
  <si>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</si>
  <si>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</si>
  <si>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</si>
  <si>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</si>
  <si>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</si>
  <si>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</si>
  <si>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</si>
  <si>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</si>
  <si>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</si>
  <si>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</si>
  <si>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</si>
  <si>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</si>
  <si>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</si>
  <si>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</si>
  <si>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</si>
  <si>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</si>
  <si>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</si>
  <si>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</si>
  <si>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</si>
  <si>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</si>
  <si>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</si>
  <si>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</si>
  <si>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</si>
  <si>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</si>
  <si>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</si>
  <si>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</si>
  <si>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</si>
  <si>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</si>
  <si>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</si>
  <si>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</si>
  <si>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</si>
  <si>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</si>
  <si>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</si>
  <si>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</si>
  <si>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</si>
  <si>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</si>
  <si>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</si>
  <si>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</si>
  <si>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</si>
  <si>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</si>
  <si>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</si>
  <si>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</si>
  <si>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</si>
  <si>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</si>
  <si>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</si>
  <si>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</si>
  <si>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</si>
  <si>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</si>
  <si>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</si>
  <si>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</si>
  <si>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</si>
  <si>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</si>
  <si>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</si>
  <si>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</si>
  <si>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</si>
  <si>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</si>
  <si>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</si>
  <si>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</si>
  <si>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</si>
  <si>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</si>
  <si>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</si>
  <si>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</si>
  <si>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</si>
  <si>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</si>
  <si>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</si>
  <si>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</si>
  <si>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</si>
  <si>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</si>
  <si>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</si>
  <si>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</si>
  <si>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</si>
  <si>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</si>
  <si>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</si>
  <si>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</si>
  <si>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</si>
  <si>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</si>
  <si>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</si>
  <si>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</si>
  <si>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</si>
  <si>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</si>
  <si>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</si>
  <si>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</si>
  <si>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</si>
  <si>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</si>
  <si>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</si>
  <si>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</si>
  <si>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</si>
  <si>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</si>
  <si>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</si>
  <si>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</si>
  <si>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</si>
  <si>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</si>
  <si>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</si>
  <si>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</si>
  <si>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</si>
  <si>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</si>
  <si>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</si>
  <si>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</si>
  <si>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</si>
  <si>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</si>
  <si>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</si>
  <si>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</si>
  <si>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</si>
  <si>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</si>
  <si>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</si>
  <si>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</si>
  <si>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</si>
  <si>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</si>
  <si>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</si>
  <si>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</si>
  <si>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</si>
  <si>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</si>
  <si>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</si>
  <si>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</si>
  <si>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</si>
  <si>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</si>
  <si>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</si>
  <si>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</si>
  <si>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</si>
  <si>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</si>
  <si>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</si>
  <si>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</si>
  <si>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</si>
  <si>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</si>
  <si>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</si>
  <si>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</si>
  <si>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</si>
  <si>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</si>
  <si>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</si>
  <si>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</si>
  <si>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</si>
  <si>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</si>
  <si>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</si>
  <si>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</si>
  <si>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</si>
  <si>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</si>
  <si>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</si>
  <si>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</si>
  <si>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</si>
  <si>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</si>
  <si>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</si>
  <si>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</si>
  <si>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</si>
  <si>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</si>
  <si>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</si>
  <si>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</si>
  <si>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</si>
  <si>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</si>
  <si>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</si>
  <si>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</si>
  <si>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</si>
  <si>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</si>
  <si>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</si>
  <si>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</si>
  <si>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</si>
  <si>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</si>
  <si>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</si>
  <si>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</si>
  <si>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</si>
  <si>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</si>
  <si>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</si>
  <si>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</si>
  <si>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</si>
  <si>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</si>
  <si>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</si>
  <si>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</si>
  <si>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</si>
  <si>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</si>
  <si>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</si>
  <si>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</si>
  <si>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</si>
  <si>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</si>
  <si>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</si>
  <si>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</si>
  <si>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</si>
  <si>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</si>
  <si>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</si>
  <si>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</si>
  <si>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</si>
  <si>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</si>
  <si>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</si>
  <si>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</si>
  <si>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</si>
  <si>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</si>
  <si>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</si>
  <si>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</si>
  <si>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</si>
  <si>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</si>
  <si>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</si>
  <si>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</si>
  <si>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</si>
  <si>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</si>
  <si>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</si>
  <si>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</si>
  <si>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</si>
  <si>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</si>
  <si>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</si>
  <si>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</si>
  <si>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</si>
  <si>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</si>
  <si>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</si>
  <si>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</si>
  <si>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</si>
  <si>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</si>
  <si>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</si>
  <si>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</si>
  <si>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</si>
  <si>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</si>
  <si>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</si>
  <si>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</si>
  <si>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</si>
  <si>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</si>
  <si>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</si>
  <si>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</si>
  <si>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</si>
  <si>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</si>
  <si>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</si>
  <si>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</si>
  <si>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</si>
  <si>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</si>
  <si>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</si>
  <si>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</si>
  <si>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</si>
  <si>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</si>
  <si>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</si>
  <si>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</si>
  <si>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</si>
  <si>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</si>
  <si>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</si>
  <si>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</si>
  <si>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</si>
  <si>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</si>
  <si>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</si>
  <si>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</si>
  <si>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</si>
  <si>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</si>
  <si>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</si>
  <si>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</si>
  <si>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</si>
  <si>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</si>
  <si>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</si>
  <si>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</si>
  <si>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</si>
  <si>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</si>
  <si>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</si>
  <si>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</si>
  <si>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</si>
  <si>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</si>
  <si>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</si>
  <si>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</si>
  <si>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</si>
  <si>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</si>
  <si>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</si>
  <si>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</si>
  <si>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</si>
  <si>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</si>
  <si>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</si>
  <si>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</si>
  <si>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</si>
  <si>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</si>
  <si>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</si>
  <si>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</si>
  <si>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</si>
  <si>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</si>
  <si>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</si>
  <si>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</si>
  <si>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</si>
  <si>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</si>
  <si>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</si>
  <si>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</si>
  <si>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</si>
  <si>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</si>
  <si>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</si>
  <si>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</si>
  <si>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</si>
  <si>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</si>
  <si>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</si>
  <si>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</si>
  <si>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</si>
  <si>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</si>
  <si>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</si>
  <si>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</si>
  <si>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</si>
  <si>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</si>
  <si>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</si>
  <si>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</si>
  <si>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</si>
  <si>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</si>
  <si>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</si>
  <si>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</si>
  <si>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</si>
  <si>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</si>
  <si>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</si>
  <si>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</si>
  <si>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</si>
  <si>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</si>
  <si>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</si>
  <si>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</si>
  <si>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</si>
  <si>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</si>
  <si>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</si>
  <si>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</si>
  <si>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</si>
  <si>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</si>
  <si>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</si>
  <si>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</si>
  <si>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</si>
  <si>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</si>
  <si>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</si>
  <si>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</si>
  <si>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</si>
  <si>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</si>
  <si>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</si>
  <si>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</si>
  <si>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</si>
  <si>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</si>
  <si>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</si>
  <si>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</si>
  <si>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</si>
  <si>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</si>
  <si>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</si>
  <si>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</si>
  <si>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</si>
  <si>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</si>
  <si>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</si>
  <si>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</si>
  <si>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</si>
  <si>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</si>
  <si>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</si>
  <si>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</si>
  <si>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</si>
  <si>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</si>
  <si>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</si>
  <si>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</si>
  <si>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</si>
  <si>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</si>
  <si>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</si>
  <si>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</si>
  <si>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</si>
  <si>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</si>
  <si>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</si>
  <si>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</si>
  <si>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</si>
  <si>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</si>
  <si>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</si>
  <si>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</si>
  <si>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</si>
  <si>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</si>
  <si>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</si>
  <si>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</si>
  <si>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</si>
  <si>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</si>
  <si>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</si>
  <si>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</si>
  <si>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</si>
  <si>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</si>
  <si>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</si>
  <si>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</si>
  <si>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</si>
  <si>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</si>
  <si>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</si>
  <si>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</si>
  <si>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</si>
  <si>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</si>
  <si>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</si>
  <si>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</si>
  <si>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</si>
  <si>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</si>
  <si>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</si>
  <si>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</si>
  <si>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</si>
  <si>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</si>
  <si>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</si>
  <si>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</si>
  <si>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</si>
  <si>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</si>
  <si>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</si>
  <si>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</si>
  <si>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</si>
  <si>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</si>
  <si>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</si>
  <si>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</si>
  <si>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</si>
  <si>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</si>
  <si>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</si>
  <si>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</si>
  <si>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</si>
  <si>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</si>
  <si>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</si>
  <si>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</si>
  <si>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</si>
  <si>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</si>
  <si>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</si>
  <si>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</si>
  <si>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</si>
  <si>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</si>
  <si>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</si>
  <si>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</si>
  <si>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</si>
  <si>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</si>
  <si>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</si>
  <si>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</si>
  <si>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</si>
  <si>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</si>
  <si>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</si>
  <si>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</si>
  <si>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</si>
  <si>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</si>
  <si>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</si>
  <si>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</si>
  <si>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</si>
  <si>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</si>
  <si>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</si>
  <si>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</si>
  <si>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</si>
  <si>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</si>
  <si>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</si>
  <si>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</si>
  <si>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</si>
  <si>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</si>
  <si>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</si>
  <si>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</si>
  <si>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</si>
  <si>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</si>
  <si>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</si>
  <si>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</si>
  <si>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</si>
  <si>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</si>
  <si>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</si>
  <si>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</si>
  <si>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</si>
  <si>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</si>
  <si>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</si>
  <si>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</si>
  <si>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</si>
  <si>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</si>
  <si>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</si>
  <si>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</si>
  <si>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</si>
  <si>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</si>
  <si>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</si>
  <si>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</si>
  <si>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</si>
  <si>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</si>
  <si>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</si>
  <si>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</si>
  <si>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</si>
  <si>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</si>
  <si>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</si>
  <si>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</si>
  <si>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</si>
  <si>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</si>
  <si>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</si>
  <si>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</si>
  <si>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</si>
  <si>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</si>
  <si>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</si>
  <si>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</si>
  <si>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</si>
  <si>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</si>
  <si>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</si>
  <si>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</si>
  <si>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</si>
  <si>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</si>
  <si>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</si>
  <si>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</si>
  <si>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</si>
  <si>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</si>
  <si>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</si>
  <si>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</si>
  <si>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</si>
  <si>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</si>
  <si>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</si>
  <si>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</si>
  <si>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</si>
  <si>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</si>
  <si>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</si>
  <si>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</si>
  <si>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</si>
  <si>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</si>
  <si>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</si>
  <si>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</si>
  <si>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</si>
  <si>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</si>
  <si>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</si>
  <si>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</si>
  <si>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</si>
  <si>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</si>
  <si>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</si>
  <si>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</si>
  <si>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</si>
  <si>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</si>
  <si>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</si>
  <si>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</si>
  <si>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</si>
  <si>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</si>
  <si>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</si>
  <si>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</si>
  <si>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</si>
  <si>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</si>
  <si>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</si>
  <si>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</si>
  <si>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</si>
  <si>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</si>
  <si>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</si>
  <si>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</si>
  <si>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</si>
  <si>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</si>
  <si>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</si>
  <si>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</si>
  <si>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</si>
  <si>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</si>
  <si>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</si>
  <si>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</si>
  <si>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</si>
  <si>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</si>
  <si>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</si>
  <si>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</si>
  <si>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</si>
  <si>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</si>
  <si>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</si>
  <si>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</si>
  <si>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</si>
  <si>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</si>
  <si>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</si>
  <si>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</si>
  <si>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</si>
  <si>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</si>
  <si>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</si>
  <si>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</si>
  <si>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</si>
  <si>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</si>
  <si>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</si>
  <si>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</si>
  <si>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</si>
  <si>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</si>
  <si>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</si>
  <si>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</si>
  <si>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</si>
  <si>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</si>
  <si>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</si>
  <si>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</si>
  <si>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</si>
  <si>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</si>
  <si>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</si>
  <si>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</si>
  <si>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</si>
  <si>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</si>
  <si>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</si>
  <si>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</si>
  <si>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</si>
  <si>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</si>
  <si>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</si>
  <si>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</si>
  <si>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</si>
  <si>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</si>
  <si>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</si>
  <si>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</si>
  <si>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</si>
  <si>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</si>
  <si>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</si>
  <si>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</si>
  <si>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</si>
  <si>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</si>
  <si>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</si>
  <si>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</si>
  <si>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</si>
  <si>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</si>
  <si>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</si>
  <si>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</si>
  <si>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</si>
  <si>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</si>
  <si>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</si>
  <si>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</si>
  <si>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</si>
  <si>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</si>
  <si>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</si>
  <si>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</si>
  <si>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</si>
  <si>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</si>
  <si>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</si>
  <si>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</si>
  <si>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</si>
  <si>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</si>
  <si>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</si>
  <si>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</si>
  <si>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</si>
  <si>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</si>
  <si>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</si>
  <si>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</si>
  <si>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</si>
  <si>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</si>
  <si>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</si>
  <si>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</si>
  <si>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</si>
  <si>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</si>
  <si>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</si>
  <si>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</si>
  <si>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</si>
  <si>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</si>
  <si>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</si>
  <si>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</si>
  <si>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</si>
  <si>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</si>
  <si>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</si>
  <si>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</si>
  <si>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</si>
  <si>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</si>
  <si>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</si>
  <si>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</si>
  <si>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</si>
  <si>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</si>
  <si>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</si>
  <si>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</si>
  <si>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</si>
  <si>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</si>
  <si>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</si>
  <si>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</si>
  <si>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</si>
  <si>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</si>
  <si>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</si>
  <si>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</si>
  <si>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</si>
  <si>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</si>
  <si>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</si>
  <si>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</si>
  <si>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</si>
  <si>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</si>
  <si>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</si>
  <si>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</si>
  <si>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</si>
  <si>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</si>
  <si>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</si>
  <si>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</si>
  <si>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</si>
  <si>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</si>
  <si>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</si>
  <si>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</si>
  <si>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</si>
  <si>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</si>
  <si>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</si>
  <si>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</si>
  <si>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</si>
  <si>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</si>
  <si>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</si>
  <si>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</si>
  <si>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</si>
  <si>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</si>
  <si>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</si>
  <si>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</si>
  <si>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</si>
  <si>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</si>
  <si>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</si>
  <si>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</si>
  <si>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</si>
  <si>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</si>
  <si>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</si>
  <si>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</si>
  <si>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</si>
  <si>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</si>
  <si>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</si>
  <si>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</si>
  <si>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</si>
  <si>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</si>
  <si>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</si>
  <si>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</si>
  <si>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</si>
  <si>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</si>
  <si>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</si>
  <si>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</si>
  <si>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</si>
  <si>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</si>
  <si>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</si>
  <si>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</si>
  <si>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</si>
  <si>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</si>
  <si>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</si>
  <si>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</si>
  <si>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</si>
  <si>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</si>
  <si>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</si>
  <si>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</si>
  <si>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</si>
  <si>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</si>
  <si>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</si>
  <si>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</si>
  <si>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</si>
  <si>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</si>
  <si>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</si>
  <si>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</si>
  <si>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</si>
  <si>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</si>
  <si>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</si>
  <si>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</si>
  <si>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</si>
  <si>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</si>
  <si>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</si>
  <si>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</si>
  <si>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</si>
  <si>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</si>
  <si>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</si>
  <si>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</si>
  <si>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</si>
  <si>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</si>
  <si>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</si>
  <si>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</si>
  <si>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</si>
  <si>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</si>
  <si>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</si>
  <si>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</si>
  <si>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</si>
  <si>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</si>
  <si>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</si>
  <si>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</si>
  <si>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</si>
  <si>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</si>
  <si>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</si>
  <si>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</si>
  <si>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</si>
  <si>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</si>
  <si>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</si>
  <si>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</si>
  <si>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</si>
  <si>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</si>
  <si>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</si>
  <si>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</si>
  <si>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</si>
  <si>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</si>
  <si>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</si>
  <si>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</si>
  <si>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</si>
  <si>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</si>
  <si>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</si>
  <si>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</si>
  <si>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</si>
  <si>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</si>
  <si>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</si>
  <si>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</si>
  <si>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</si>
  <si>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</si>
  <si>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</si>
  <si>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</si>
  <si>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</si>
  <si>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</si>
  <si>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</si>
  <si>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</si>
  <si>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</si>
  <si>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</si>
  <si>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</si>
  <si>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</si>
  <si>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</si>
  <si>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</si>
  <si>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</si>
  <si>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</si>
  <si>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</si>
  <si>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</si>
  <si>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</si>
  <si>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</si>
  <si>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</si>
  <si>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</si>
  <si>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</si>
  <si>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</si>
  <si>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</si>
  <si>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</si>
  <si>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</si>
  <si>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</si>
  <si>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</si>
  <si>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</si>
  <si>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</si>
  <si>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</si>
  <si>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</si>
  <si>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</si>
  <si>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</si>
  <si>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</si>
  <si>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</si>
  <si>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</si>
  <si>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</si>
  <si>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</si>
  <si>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</si>
  <si>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</si>
  <si>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</si>
  <si>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</si>
  <si>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</si>
  <si>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</si>
  <si>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</si>
  <si>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</si>
  <si>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</si>
  <si>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</si>
  <si>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</si>
  <si>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</si>
  <si>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</si>
  <si>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</si>
  <si>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</si>
  <si>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</si>
  <si>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</si>
  <si>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</si>
  <si>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</si>
  <si>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</si>
  <si>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</si>
  <si>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</si>
  <si>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</si>
  <si>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</si>
  <si>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</si>
  <si>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</si>
  <si>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</si>
  <si>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</si>
  <si>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</si>
  <si>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</si>
  <si>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</si>
  <si>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</si>
  <si>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</si>
  <si>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</si>
  <si>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</si>
  <si>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</si>
  <si>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</si>
  <si>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</si>
  <si>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</si>
  <si>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</si>
  <si>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</si>
  <si>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</si>
  <si>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</si>
  <si>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</si>
  <si>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</si>
  <si>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</si>
  <si>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</si>
  <si>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</si>
  <si>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</si>
  <si>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</si>
  <si>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</si>
  <si>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</si>
  <si>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</si>
  <si>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</si>
  <si>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</si>
  <si>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</si>
  <si>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</si>
  <si>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</si>
  <si>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</si>
  <si>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</si>
  <si>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</si>
  <si>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</si>
  <si>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</si>
  <si>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</si>
  <si>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</si>
  <si>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</si>
  <si>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</si>
  <si>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</si>
  <si>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</si>
  <si>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</si>
  <si>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</si>
  <si>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</si>
  <si>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</si>
  <si>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</si>
  <si>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</si>
  <si>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</si>
  <si>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</si>
  <si>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</si>
  <si>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</si>
  <si>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</si>
  <si>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</si>
  <si>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</si>
  <si>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</si>
  <si>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</si>
  <si>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</si>
  <si>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</si>
  <si>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</si>
  <si>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</si>
  <si>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</si>
  <si>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</si>
  <si>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</si>
  <si>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</si>
  <si>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</si>
  <si>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</si>
  <si>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</si>
  <si>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</si>
  <si>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</si>
  <si>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</si>
  <si>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</si>
  <si>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</si>
  <si>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</si>
  <si>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</si>
  <si>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</si>
  <si>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</si>
  <si>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</si>
  <si>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</si>
  <si>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</si>
  <si>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</si>
  <si>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</si>
  <si>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</si>
  <si>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</si>
  <si>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</si>
  <si>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</si>
  <si>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</si>
  <si>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</si>
  <si>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</si>
  <si>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</si>
  <si>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</si>
  <si>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</si>
  <si>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</si>
  <si>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</si>
  <si>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</si>
  <si>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</si>
  <si>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</si>
  <si>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</si>
  <si>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</si>
  <si>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</si>
  <si>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</si>
  <si>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</si>
  <si>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</si>
  <si>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</si>
  <si>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</si>
  <si>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</si>
  <si>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</si>
  <si>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</si>
  <si>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</si>
  <si>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</si>
  <si>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</si>
  <si>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</si>
  <si>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</si>
  <si>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</si>
  <si>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</si>
  <si>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</si>
  <si>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</si>
  <si>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</si>
  <si>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</si>
  <si>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</si>
  <si>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</si>
  <si>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</si>
  <si>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</si>
  <si>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</si>
  <si>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</si>
  <si>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</si>
  <si>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</si>
  <si>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</si>
  <si>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</si>
  <si>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</si>
  <si>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</si>
  <si>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</si>
  <si>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</si>
  <si>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</si>
  <si>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</si>
  <si>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</si>
  <si>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</si>
  <si>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</si>
  <si>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</si>
  <si>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</si>
  <si>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</si>
  <si>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</si>
  <si>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</si>
  <si>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</si>
  <si>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</si>
  <si>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</si>
  <si>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</si>
  <si>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</si>
  <si>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</si>
  <si>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</si>
  <si>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</si>
  <si>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</si>
  <si>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</si>
  <si>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</si>
  <si>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</si>
  <si>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</si>
  <si>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</si>
  <si>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</si>
  <si>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</si>
  <si>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</si>
  <si>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</si>
  <si>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</si>
  <si>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</si>
  <si>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</si>
  <si>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</si>
  <si>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</si>
  <si>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</si>
  <si>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</si>
  <si>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</si>
  <si>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</si>
  <si>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</si>
  <si>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</si>
  <si>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</si>
  <si>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</si>
  <si>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</si>
  <si>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</si>
  <si>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</si>
  <si>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</si>
  <si>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</si>
  <si>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</si>
  <si>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</si>
  <si>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</si>
  <si>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</si>
  <si>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</si>
  <si>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</si>
  <si>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</si>
  <si>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</si>
  <si>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</si>
  <si>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</si>
  <si>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</si>
  <si>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</si>
  <si>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</si>
  <si>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</si>
  <si>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</si>
  <si>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</si>
  <si>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</si>
  <si>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</si>
  <si>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</si>
  <si>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</si>
  <si>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</si>
  <si>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</si>
  <si>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</si>
  <si>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</si>
  <si>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</si>
  <si>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</si>
  <si>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</si>
  <si>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</si>
  <si>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</si>
  <si>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</si>
  <si>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</si>
  <si>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</si>
  <si>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</si>
  <si>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</si>
  <si>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</si>
  <si>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</si>
  <si>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</si>
  <si>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</si>
  <si>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</si>
  <si>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</si>
  <si>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</si>
  <si>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</si>
  <si>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</si>
  <si>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</si>
  <si>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</si>
  <si>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</si>
  <si>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</si>
  <si>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</si>
  <si>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</si>
  <si>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</si>
  <si>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</si>
  <si>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</si>
  <si>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</si>
  <si>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</si>
  <si>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</si>
  <si>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</si>
  <si>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</si>
  <si>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</si>
  <si>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</si>
  <si>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</si>
  <si>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</si>
  <si>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</si>
  <si>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</si>
  <si>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</si>
  <si>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</si>
  <si>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</si>
  <si>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</si>
  <si>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</si>
  <si>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</si>
  <si>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</si>
  <si>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</si>
  <si>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</si>
  <si>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</si>
  <si>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</si>
  <si>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</si>
  <si>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</si>
  <si>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</si>
  <si>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</si>
  <si>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</si>
  <si>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</si>
  <si>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</si>
  <si>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</si>
  <si>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</si>
  <si>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</si>
  <si>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</si>
  <si>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</si>
  <si>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</si>
  <si>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</si>
  <si>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</si>
  <si>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</si>
  <si>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</si>
  <si>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</si>
  <si>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</si>
  <si>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</si>
  <si>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</si>
  <si>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</si>
  <si>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</si>
  <si>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</si>
  <si>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</si>
  <si>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</si>
  <si>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</si>
  <si>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</si>
  <si>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</si>
  <si>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</si>
  <si>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</si>
  <si>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</si>
  <si>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</si>
  <si>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</si>
  <si>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</si>
  <si>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</si>
  <si>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</si>
  <si>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</si>
  <si>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</si>
  <si>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</si>
  <si>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</si>
  <si>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</si>
  <si>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</si>
  <si>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</si>
  <si>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</si>
  <si>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</si>
  <si>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</si>
  <si>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</si>
  <si>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</si>
  <si>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</si>
  <si>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</si>
  <si>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</si>
  <si>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</si>
  <si>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</si>
  <si>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</si>
  <si>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</si>
  <si>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</si>
  <si>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</si>
  <si>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</si>
  <si>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</si>
  <si>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</si>
  <si>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</si>
  <si>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</si>
  <si>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</si>
  <si>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</si>
  <si>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</si>
  <si>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</si>
  <si>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</si>
  <si>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</si>
  <si>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</si>
  <si>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</si>
  <si>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</si>
  <si>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</si>
  <si>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</si>
  <si>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</si>
  <si>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</si>
  <si>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</si>
  <si>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</si>
  <si>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</si>
  <si>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</si>
  <si>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</si>
  <si>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</si>
  <si>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</si>
  <si>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</si>
  <si>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</si>
  <si>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</si>
  <si>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</si>
  <si>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</si>
  <si>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</si>
  <si>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</si>
  <si>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</si>
  <si>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</si>
  <si>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</si>
  <si>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</si>
  <si>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</si>
  <si>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</si>
  <si>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</si>
  <si>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</si>
  <si>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</si>
  <si>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</si>
  <si>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</si>
  <si>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</si>
  <si>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</si>
  <si>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</si>
  <si>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</si>
  <si>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</si>
  <si>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</si>
  <si>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</si>
  <si>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</si>
  <si>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</si>
  <si>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</si>
  <si>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</si>
  <si>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</si>
  <si>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</si>
  <si>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</si>
  <si>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</si>
  <si>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</si>
  <si>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</si>
  <si>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</si>
  <si>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</si>
  <si>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</si>
  <si>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</si>
  <si>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</si>
  <si>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</si>
  <si>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</si>
  <si>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</si>
  <si>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</si>
  <si>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</si>
  <si>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</si>
  <si>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</si>
  <si>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</si>
  <si>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</si>
  <si>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</si>
  <si>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</si>
  <si>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</si>
  <si>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</si>
  <si>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</si>
  <si>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</si>
  <si>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</si>
  <si>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</si>
  <si>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</si>
  <si>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</si>
  <si>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</si>
  <si>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</si>
  <si>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</si>
  <si>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</si>
  <si>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</si>
  <si>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</si>
  <si>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</si>
  <si>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</si>
  <si>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</si>
  <si>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</si>
  <si>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</si>
  <si>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</si>
  <si>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</si>
  <si>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</si>
  <si>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</si>
  <si>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</si>
  <si>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</si>
  <si>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</si>
  <si>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</si>
  <si>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</si>
  <si>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</si>
  <si>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</si>
  <si>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</si>
  <si>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</si>
  <si>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</si>
  <si>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</si>
  <si>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</si>
  <si>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</si>
  <si>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</si>
  <si>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</si>
  <si>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</si>
  <si>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</si>
  <si>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</si>
  <si>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</si>
  <si>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</si>
  <si>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</si>
  <si>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</si>
  <si>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</si>
  <si>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</si>
  <si>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</si>
  <si>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</si>
  <si>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</si>
  <si>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</si>
  <si>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</si>
  <si>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</si>
  <si>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</si>
  <si>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</si>
  <si>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</si>
  <si>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</si>
  <si>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</si>
  <si>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</si>
  <si>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</si>
  <si>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</si>
  <si>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</si>
  <si>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</si>
  <si>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</si>
  <si>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</si>
  <si>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</si>
  <si>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</si>
  <si>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</si>
  <si>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</si>
  <si>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</si>
  <si>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</si>
  <si>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</si>
  <si>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</si>
  <si>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</si>
  <si>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</si>
  <si>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</si>
  <si>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</si>
  <si>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</si>
  <si>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</si>
  <si>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</si>
  <si>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</si>
  <si>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</si>
  <si>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</si>
  <si>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</si>
  <si>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</si>
  <si>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</si>
  <si>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</si>
  <si>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</si>
  <si>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</si>
  <si>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</si>
  <si>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</si>
  <si>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</si>
  <si>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</si>
  <si>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</si>
  <si>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</si>
  <si>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</si>
  <si>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</si>
  <si>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</si>
  <si>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</si>
  <si>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</si>
  <si>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</si>
  <si>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</si>
  <si>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</si>
  <si>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</si>
  <si>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</si>
  <si>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</si>
  <si>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</si>
  <si>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</si>
  <si>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</si>
  <si>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</si>
  <si>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</si>
  <si>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</si>
  <si>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</si>
  <si>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</si>
  <si>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</si>
  <si>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</si>
  <si>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</si>
  <si>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</si>
  <si>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</si>
  <si>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</si>
  <si>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</si>
  <si>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</si>
  <si>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</si>
  <si>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</si>
  <si>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</si>
  <si>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</si>
  <si>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</si>
  <si>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</si>
  <si>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</si>
  <si>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</si>
  <si>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</si>
  <si>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</si>
  <si>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</si>
  <si>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</si>
  <si>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</si>
  <si>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</si>
  <si>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</si>
  <si>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</si>
  <si>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</si>
  <si>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</si>
  <si>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</si>
  <si>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</si>
  <si>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</si>
  <si>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</si>
  <si>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</si>
  <si>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</si>
  <si>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</si>
  <si>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</si>
  <si>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</si>
  <si>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</si>
  <si>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</si>
  <si>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</si>
  <si>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</si>
  <si>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</si>
  <si>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</si>
  <si>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</si>
  <si>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</si>
  <si>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</si>
  <si>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</si>
  <si>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</si>
  <si>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</si>
  <si>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</si>
  <si>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</si>
  <si>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</si>
  <si>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</si>
  <si>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</si>
  <si>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</si>
  <si>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</si>
  <si>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</si>
  <si>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</si>
  <si>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</si>
  <si>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</si>
  <si>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</si>
  <si>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</si>
  <si>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</si>
  <si>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</si>
  <si>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</si>
  <si>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</si>
  <si>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</si>
  <si>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</si>
  <si>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</si>
  <si>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</si>
  <si>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</si>
  <si>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</si>
  <si>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</si>
  <si>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</si>
  <si>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</si>
  <si>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</si>
  <si>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</si>
  <si>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</si>
  <si>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</si>
  <si>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</si>
  <si>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</si>
  <si>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</si>
  <si>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</si>
  <si>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</si>
  <si>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</si>
  <si>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</si>
  <si>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</si>
  <si>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</si>
  <si>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</si>
  <si>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</si>
  <si>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</si>
  <si>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</si>
  <si>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</si>
  <si>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</si>
  <si>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</si>
  <si>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</si>
  <si>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</si>
  <si>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</si>
  <si>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</si>
  <si>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</si>
  <si>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</si>
  <si>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</si>
  <si>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</si>
  <si>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</si>
  <si>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</si>
  <si>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</si>
  <si>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</si>
  <si>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</si>
  <si>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</si>
  <si>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</si>
  <si>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</si>
  <si>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</si>
  <si>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</si>
  <si>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</si>
  <si>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</si>
  <si>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</si>
  <si>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</si>
  <si>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</si>
  <si>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</si>
  <si>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</si>
  <si>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</si>
  <si>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</si>
  <si>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</si>
  <si>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</si>
  <si>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</si>
  <si>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</si>
  <si>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</si>
  <si>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</si>
  <si>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</si>
  <si>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</si>
  <si>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</si>
  <si>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</si>
  <si>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</si>
  <si>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</si>
  <si>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</si>
  <si>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</si>
  <si>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</si>
  <si>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</si>
  <si>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</si>
  <si>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</si>
  <si>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</si>
  <si>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</si>
  <si>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</si>
  <si>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</si>
  <si>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</si>
  <si>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</si>
  <si>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</si>
  <si>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</si>
  <si>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</si>
  <si>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</si>
  <si>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</si>
  <si>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</si>
  <si>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</si>
  <si>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</si>
  <si>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</si>
  <si>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</si>
  <si>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</si>
  <si>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</si>
  <si>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</si>
  <si>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</si>
  <si>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</si>
  <si>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</si>
  <si>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</si>
  <si>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</si>
  <si>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</si>
  <si>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</si>
  <si>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</si>
  <si>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</si>
  <si>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</si>
  <si>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</si>
  <si>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</si>
  <si>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</si>
  <si>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</si>
  <si>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</si>
  <si>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</si>
  <si>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</si>
  <si>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</si>
  <si>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</si>
  <si>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</si>
  <si>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</si>
  <si>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</si>
  <si>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</si>
  <si>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</si>
  <si>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</si>
  <si>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</si>
  <si>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</si>
  <si>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</si>
  <si>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</si>
  <si>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</si>
  <si>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</si>
  <si>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</si>
  <si>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</si>
  <si>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</si>
  <si>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</si>
  <si>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</si>
  <si>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</si>
  <si>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</si>
  <si>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</si>
  <si>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</si>
  <si>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</si>
  <si>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</si>
  <si>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</si>
  <si>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</si>
  <si>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</si>
  <si>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</si>
  <si>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</si>
  <si>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</si>
  <si>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</si>
  <si>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</si>
  <si>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</si>
  <si>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</si>
  <si>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</si>
  <si>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</si>
  <si>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</si>
  <si>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</si>
  <si>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</si>
  <si>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</si>
  <si>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</si>
  <si>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</si>
  <si>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</si>
  <si>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</si>
  <si>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</si>
  <si>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</si>
  <si>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</si>
  <si>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</si>
  <si>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</si>
  <si>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</si>
  <si>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</si>
  <si>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</si>
  <si>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</si>
  <si>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</si>
  <si>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</si>
  <si>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</si>
  <si>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</si>
  <si>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</si>
  <si>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</si>
  <si>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</si>
  <si>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</si>
  <si>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</si>
  <si>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</si>
  <si>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</si>
  <si>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</si>
  <si>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</si>
  <si>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</si>
  <si>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</si>
  <si>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</si>
  <si>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</si>
  <si>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</si>
  <si>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</si>
  <si>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</si>
  <si>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</si>
  <si>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</si>
  <si>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</si>
  <si>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</si>
  <si>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</si>
  <si>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</si>
  <si>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</si>
  <si>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</si>
  <si>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</si>
  <si>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</si>
  <si>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</si>
  <si>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</si>
  <si>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</si>
  <si>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</si>
  <si>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</si>
  <si>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</si>
  <si>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</si>
  <si>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</si>
  <si>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</si>
  <si>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</si>
  <si>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</si>
  <si>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</si>
  <si>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</si>
  <si>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</si>
  <si>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</si>
  <si>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</si>
  <si>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</si>
  <si>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</si>
  <si>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</si>
  <si>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</si>
  <si>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</si>
  <si>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</si>
  <si>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</si>
  <si>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</si>
  <si>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</si>
  <si>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</si>
  <si>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</si>
  <si>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</si>
  <si>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</si>
  <si>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</si>
  <si>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</si>
  <si>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</si>
  <si>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</si>
  <si>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</si>
  <si>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</si>
  <si>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</si>
  <si>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</si>
  <si>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</si>
  <si>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</si>
  <si>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</si>
  <si>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</si>
  <si>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</si>
  <si>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</si>
  <si>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</si>
  <si>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</si>
  <si>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</si>
  <si>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</si>
  <si>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</si>
  <si>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</si>
  <si>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</si>
  <si>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</si>
  <si>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</si>
  <si>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</si>
  <si>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</si>
  <si>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</si>
  <si>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</si>
  <si>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</si>
  <si>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</si>
  <si>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</si>
  <si>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</si>
  <si>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</si>
  <si>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</si>
  <si>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</si>
  <si>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</si>
  <si>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</si>
  <si>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</si>
  <si>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</si>
  <si>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</si>
  <si>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</si>
  <si>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</si>
  <si>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</si>
  <si>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</si>
  <si>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</si>
  <si>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</si>
  <si>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</si>
  <si>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</si>
  <si>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</si>
  <si>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</si>
  <si>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</si>
  <si>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</si>
  <si>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</si>
  <si>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</si>
  <si>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</si>
  <si>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</si>
  <si>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</si>
  <si>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</si>
  <si>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</si>
  <si>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</si>
  <si>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</si>
  <si>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</si>
  <si>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</si>
  <si>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</si>
  <si>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</si>
  <si>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</si>
  <si>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</si>
  <si>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</si>
  <si>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</si>
  <si>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</si>
  <si>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</si>
  <si>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</si>
  <si>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</si>
  <si>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</si>
  <si>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</si>
  <si>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</si>
  <si>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</si>
  <si>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</si>
  <si>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</si>
  <si>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</si>
  <si>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</si>
  <si>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</si>
  <si>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</si>
  <si>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</si>
  <si>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</si>
  <si>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</si>
  <si>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</si>
  <si>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</si>
  <si>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</si>
  <si>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</si>
  <si>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</si>
  <si>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</si>
  <si>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</si>
  <si>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</si>
  <si>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</si>
  <si>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</si>
  <si>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</si>
  <si>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</si>
  <si>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</si>
  <si>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</si>
  <si>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</si>
  <si>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</si>
  <si>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</si>
  <si>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</si>
  <si>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</si>
  <si>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</si>
  <si>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</si>
  <si>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</si>
  <si>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</si>
  <si>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</si>
  <si>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</si>
  <si>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</si>
  <si>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</si>
  <si>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</si>
  <si>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</si>
  <si>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</si>
  <si>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</si>
  <si>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</si>
  <si>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</si>
  <si>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</si>
  <si>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</si>
  <si>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</si>
  <si>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</si>
  <si>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</si>
  <si>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</si>
  <si>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</si>
  <si>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</si>
  <si>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</si>
  <si>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</si>
  <si>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</si>
  <si>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</si>
  <si>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</si>
  <si>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</si>
  <si>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</si>
  <si>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</si>
  <si>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</si>
  <si>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</si>
  <si>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</si>
  <si>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</si>
  <si>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</si>
  <si>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</si>
  <si>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</si>
  <si>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</si>
  <si>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</si>
  <si>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</si>
  <si>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</si>
  <si>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</si>
  <si>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</si>
  <si>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</si>
  <si>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</si>
  <si>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</si>
  <si>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</si>
  <si>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</si>
  <si>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</si>
  <si>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</si>
  <si>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</si>
  <si>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</si>
  <si>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</si>
  <si>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</si>
  <si>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</si>
  <si>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</si>
  <si>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</si>
  <si>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</si>
  <si>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</si>
  <si>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</si>
  <si>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</si>
  <si>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</si>
  <si>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</si>
  <si>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</si>
  <si>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</si>
  <si>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</si>
  <si>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</si>
  <si>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</si>
  <si>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</si>
  <si>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</si>
  <si>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</si>
  <si>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</si>
  <si>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</si>
  <si>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</si>
  <si>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</si>
  <si>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</si>
  <si>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</si>
  <si>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</si>
  <si>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</si>
  <si>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</si>
  <si>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</si>
  <si>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</si>
  <si>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</si>
  <si>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</si>
  <si>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</si>
  <si>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</si>
  <si>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</si>
  <si>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</si>
  <si>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</si>
  <si>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</si>
  <si>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</si>
  <si>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</si>
  <si>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</si>
  <si>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</si>
  <si>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</si>
  <si>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</si>
  <si>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</si>
  <si>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</si>
  <si>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</si>
  <si>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</si>
  <si>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</si>
  <si>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</si>
  <si>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</si>
  <si>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</si>
  <si>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</si>
  <si>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</si>
  <si>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</si>
  <si>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</si>
  <si>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</si>
  <si>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</si>
  <si>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</si>
  <si>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</si>
  <si>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</si>
  <si>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</si>
  <si>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</si>
  <si>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</si>
  <si>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</si>
  <si>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</si>
  <si>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</si>
  <si>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</si>
  <si>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</si>
  <si>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</si>
  <si>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</si>
  <si>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</si>
  <si>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</si>
  <si>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</si>
  <si>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</si>
  <si>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</si>
  <si>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</si>
  <si>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</si>
  <si>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</si>
  <si>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</si>
  <si>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</si>
  <si>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</si>
  <si>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</si>
  <si>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</si>
  <si>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</si>
  <si>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</si>
  <si>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</si>
  <si>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</si>
  <si>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</si>
  <si>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</si>
  <si>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</si>
  <si>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</si>
  <si>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</si>
  <si>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</si>
  <si>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</si>
  <si>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</si>
  <si>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</si>
  <si>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</si>
  <si>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</si>
  <si>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</si>
  <si>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</si>
  <si>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</si>
  <si>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</si>
  <si>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</si>
  <si>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</si>
  <si>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</si>
  <si>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</si>
  <si>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</si>
  <si>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</si>
  <si>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</si>
  <si>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</si>
  <si>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</si>
  <si>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</si>
  <si>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</si>
  <si>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</si>
  <si>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</si>
  <si>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</si>
  <si>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</si>
  <si>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</si>
  <si>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</si>
  <si>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</si>
  <si>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</si>
  <si>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</si>
  <si>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</si>
  <si>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</si>
  <si>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</si>
  <si>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</si>
  <si>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</si>
  <si>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</si>
  <si>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</si>
  <si>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</si>
  <si>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</si>
  <si>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</si>
  <si>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</si>
  <si>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</si>
  <si>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</si>
  <si>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</si>
  <si>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</si>
  <si>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</si>
  <si>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</si>
  <si>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</si>
  <si>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</si>
  <si>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</si>
  <si>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</si>
  <si>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</si>
  <si>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</si>
  <si>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</si>
  <si>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</si>
  <si>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</si>
  <si>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</si>
  <si>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</si>
  <si>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</si>
  <si>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</si>
  <si>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</si>
  <si>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</si>
  <si>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</si>
  <si>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</si>
  <si>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</si>
  <si>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</si>
  <si>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</si>
  <si>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</si>
  <si>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</si>
  <si>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</si>
  <si>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</si>
  <si>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</si>
  <si>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</si>
  <si>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</si>
  <si>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</si>
  <si>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</si>
  <si>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</si>
  <si>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</si>
  <si>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</si>
  <si>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</si>
  <si>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</si>
  <si>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</si>
  <si>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</si>
  <si>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</si>
  <si>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</si>
  <si>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</si>
  <si>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</si>
  <si>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</si>
  <si>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</si>
  <si>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</si>
  <si>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</si>
  <si>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</si>
  <si>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</si>
  <si>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</si>
  <si>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</si>
  <si>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</si>
  <si>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</si>
  <si>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</si>
  <si>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</si>
  <si>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</si>
  <si>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</si>
  <si>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</si>
  <si>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</si>
  <si>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</si>
  <si>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</si>
  <si>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</si>
  <si>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</si>
  <si>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</si>
  <si>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</si>
  <si>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</si>
  <si>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</si>
  <si>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</si>
  <si>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</si>
  <si>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</si>
  <si>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</si>
  <si>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</si>
  <si>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</si>
  <si>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</si>
  <si>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</si>
  <si>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</si>
  <si>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</si>
  <si>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</si>
  <si>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</si>
  <si>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</si>
  <si>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</si>
  <si>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</si>
  <si>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</si>
  <si>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</si>
  <si>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</si>
  <si>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</si>
  <si>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</si>
  <si>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</si>
  <si>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</si>
  <si>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</si>
  <si>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</si>
  <si>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</si>
  <si>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</si>
  <si>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</si>
  <si>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</si>
  <si>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</si>
  <si>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</si>
  <si>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</si>
  <si>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</si>
  <si>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</si>
  <si>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</si>
  <si>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</si>
  <si>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</si>
  <si>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</si>
  <si>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</si>
  <si>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</si>
  <si>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</si>
  <si>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</si>
  <si>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</si>
  <si>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</si>
  <si>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</si>
  <si>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</si>
  <si>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</si>
  <si>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</si>
  <si>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</si>
  <si>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</si>
  <si>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</si>
  <si>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</si>
  <si>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</si>
  <si>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</si>
  <si>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</si>
  <si>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</si>
  <si>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</si>
  <si>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</si>
  <si>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</si>
  <si>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</si>
  <si>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</si>
  <si>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</si>
  <si>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</si>
  <si>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</si>
  <si>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</si>
  <si>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</si>
  <si>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</si>
  <si>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</si>
  <si>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</si>
  <si>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</si>
  <si>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</si>
  <si>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</si>
  <si>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</si>
  <si>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</si>
  <si>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</si>
  <si>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</si>
  <si>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</si>
  <si>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</si>
  <si>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</si>
  <si>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</si>
  <si>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</si>
  <si>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</si>
  <si>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</si>
  <si>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</si>
  <si>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</si>
  <si>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</si>
  <si>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</si>
  <si>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</si>
  <si>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</si>
  <si>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</si>
  <si>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</si>
  <si>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</si>
  <si>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</si>
  <si>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</si>
  <si>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</si>
  <si>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</si>
  <si>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</si>
  <si>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</si>
  <si>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</si>
  <si>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</si>
  <si>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</si>
  <si>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</si>
  <si>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</si>
  <si>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</si>
  <si>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</si>
  <si>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</si>
  <si>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</si>
  <si>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</si>
  <si>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</si>
  <si>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</si>
  <si>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</si>
  <si>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</si>
  <si>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</si>
  <si>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</si>
  <si>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</si>
  <si>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</si>
  <si>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</si>
  <si>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</si>
  <si>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</si>
  <si>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</si>
  <si>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</si>
  <si>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</si>
  <si>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</si>
  <si>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</si>
  <si>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</si>
  <si>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</si>
  <si>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</si>
  <si>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</si>
  <si>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</si>
  <si>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</si>
  <si>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</si>
  <si>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</si>
  <si>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</si>
  <si>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</si>
  <si>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</si>
  <si>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</si>
  <si>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</si>
  <si>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</si>
  <si>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</si>
  <si>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</si>
  <si>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</si>
  <si>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</si>
  <si>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</si>
  <si>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</si>
  <si>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</si>
  <si>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</si>
  <si>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</si>
  <si>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</si>
  <si>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</si>
  <si>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</si>
  <si>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</si>
  <si>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</si>
  <si>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</si>
  <si>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</si>
  <si>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</si>
  <si>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</si>
  <si>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</si>
  <si>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</si>
  <si>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</si>
  <si>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</si>
  <si>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</si>
  <si>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</si>
  <si>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</si>
  <si>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</si>
  <si>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</si>
  <si>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</si>
  <si>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</si>
  <si>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</si>
  <si>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</si>
  <si>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</si>
  <si>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</si>
  <si>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</si>
  <si>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</si>
  <si>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</si>
  <si>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</si>
  <si>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</si>
  <si>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</si>
  <si>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</si>
  <si>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</si>
  <si>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</si>
  <si>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</si>
  <si>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</si>
  <si>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</si>
  <si>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</si>
  <si>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</si>
  <si>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</si>
  <si>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</si>
  <si>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</si>
  <si>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</si>
  <si>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</si>
  <si>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</si>
  <si>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</si>
  <si>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</si>
  <si>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</si>
  <si>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</si>
  <si>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</si>
  <si>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</si>
  <si>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</si>
  <si>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</si>
  <si>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</si>
  <si>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</si>
  <si>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</si>
  <si>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</si>
  <si>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</si>
  <si>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</si>
  <si>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</si>
  <si>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</si>
  <si>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</si>
  <si>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</si>
  <si>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</si>
  <si>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</si>
  <si>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</si>
  <si>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</si>
  <si>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</si>
  <si>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</si>
  <si>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</si>
  <si>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</si>
  <si>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</si>
  <si>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</si>
  <si>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</si>
  <si>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</si>
  <si>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</si>
  <si>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</si>
  <si>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</si>
  <si>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</si>
  <si>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</si>
  <si>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</si>
  <si>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</si>
  <si>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</si>
  <si>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</si>
  <si>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</si>
  <si>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</si>
  <si>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</si>
  <si>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</si>
  <si>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</si>
  <si>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</si>
  <si>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</si>
  <si>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</si>
  <si>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</si>
  <si>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</si>
  <si>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</si>
  <si>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</si>
  <si>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</si>
  <si>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</si>
  <si>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</si>
  <si>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</si>
  <si>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</si>
  <si>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</si>
  <si>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</si>
  <si>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</si>
  <si>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</si>
  <si>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</si>
  <si>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</si>
  <si>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</si>
  <si>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</si>
  <si>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</si>
  <si>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</si>
  <si>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</si>
  <si>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</si>
  <si>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</si>
  <si>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</si>
  <si>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</si>
  <si>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</si>
  <si>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</si>
  <si>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</si>
  <si>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</si>
  <si>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</si>
  <si>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</si>
  <si>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</si>
  <si>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</si>
  <si>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</si>
  <si>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</si>
  <si>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</si>
  <si>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</si>
  <si>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</si>
  <si>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</si>
  <si>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</si>
  <si>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</si>
  <si>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</si>
  <si>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</si>
  <si>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</si>
  <si>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</si>
  <si>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</si>
  <si>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</si>
  <si>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</si>
  <si>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</si>
  <si>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</si>
  <si>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</si>
  <si>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</si>
  <si>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</si>
  <si>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</si>
  <si>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</si>
  <si>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</si>
  <si>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</si>
  <si>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</si>
  <si>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</si>
  <si>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</si>
  <si>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</si>
  <si>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</si>
  <si>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</si>
  <si>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</si>
  <si>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</si>
  <si>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</si>
  <si>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</si>
  <si>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</si>
  <si>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</si>
  <si>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</si>
  <si>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</si>
  <si>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</si>
  <si>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</si>
  <si>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</si>
  <si>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</si>
  <si>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</si>
  <si>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</si>
  <si>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</si>
  <si>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</si>
  <si>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</si>
  <si>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</si>
  <si>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</si>
  <si>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</si>
  <si>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</si>
  <si>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</si>
  <si>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</si>
  <si>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</si>
  <si>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</si>
  <si>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</si>
  <si>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</si>
  <si>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</si>
  <si>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</si>
  <si>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</si>
  <si>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</si>
  <si>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</si>
  <si>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</si>
  <si>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</si>
  <si>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</si>
  <si>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</si>
  <si>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</si>
  <si>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</si>
  <si>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</si>
  <si>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</si>
  <si>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</si>
  <si>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</si>
  <si>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</si>
  <si>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</si>
  <si>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</si>
  <si>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</si>
  <si>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</si>
  <si>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</si>
  <si>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</si>
  <si>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</si>
  <si>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</si>
  <si>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</si>
  <si>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</si>
  <si>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</si>
  <si>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</si>
  <si>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</si>
  <si>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</si>
  <si>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</si>
  <si>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</si>
  <si>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</si>
  <si>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</si>
  <si>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</si>
  <si>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</si>
  <si>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</si>
  <si>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</si>
  <si>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</si>
  <si>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</si>
  <si>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</si>
  <si>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</si>
  <si>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</si>
  <si>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</si>
  <si>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</si>
  <si>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</si>
  <si>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</si>
  <si>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</si>
  <si>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</si>
  <si>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</si>
  <si>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</si>
  <si>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</si>
  <si>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</si>
  <si>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</si>
  <si>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</si>
  <si>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</si>
  <si>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</si>
  <si>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</si>
  <si>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</si>
  <si>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</si>
  <si>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</si>
  <si>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</si>
  <si>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</si>
  <si>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</si>
  <si>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</si>
  <si>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</si>
  <si>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</si>
  <si>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</si>
  <si>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</si>
  <si>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</si>
  <si>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</si>
  <si>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</si>
  <si>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</si>
  <si>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</si>
  <si>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</si>
  <si>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</si>
  <si>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</si>
  <si>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</si>
  <si>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</si>
  <si>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</si>
  <si>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</si>
  <si>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</si>
  <si>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</si>
  <si>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</si>
  <si>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</si>
  <si>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</si>
  <si>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</si>
  <si>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</si>
  <si>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</si>
  <si>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</si>
  <si>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</si>
  <si>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</si>
  <si>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</si>
  <si>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</si>
  <si>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</si>
  <si>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</si>
  <si>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</si>
  <si>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</si>
  <si>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</si>
  <si>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</si>
  <si>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</si>
  <si>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</si>
  <si>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</si>
  <si>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</si>
  <si>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</si>
  <si>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</si>
  <si>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</si>
  <si>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</si>
  <si>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</si>
  <si>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</si>
  <si>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</si>
  <si>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</si>
  <si>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</si>
  <si>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</si>
  <si>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</si>
  <si>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</si>
  <si>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</si>
  <si>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</si>
  <si>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</si>
  <si>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</si>
  <si>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</si>
  <si>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</si>
  <si>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</si>
  <si>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</si>
  <si>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</si>
  <si>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</si>
  <si>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</si>
  <si>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</si>
  <si>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</si>
  <si>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</si>
  <si>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</si>
  <si>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</si>
  <si>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</si>
  <si>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</si>
  <si>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</si>
  <si>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</si>
  <si>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</si>
  <si>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</si>
  <si>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</si>
  <si>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</si>
  <si>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</si>
  <si>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</si>
  <si>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</si>
  <si>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</si>
  <si>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</si>
  <si>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</si>
  <si>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</si>
  <si>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</si>
  <si>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</si>
  <si>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</si>
  <si>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</si>
  <si>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</si>
  <si>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</si>
  <si>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</si>
  <si>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</si>
  <si>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</si>
  <si>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</si>
  <si>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</si>
  <si>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</si>
  <si>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</si>
  <si>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</si>
  <si>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</si>
  <si>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</si>
  <si>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</si>
  <si>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</si>
  <si>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</si>
  <si>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</si>
  <si>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</si>
  <si>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</si>
  <si>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</si>
  <si>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</si>
  <si>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</si>
  <si>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</si>
  <si>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</si>
  <si>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</si>
  <si>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</si>
  <si>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</si>
  <si>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</si>
  <si>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</si>
  <si>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</si>
  <si>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</si>
  <si>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</si>
  <si>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</si>
  <si>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</si>
  <si>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</si>
  <si>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</si>
  <si>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</si>
  <si>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</si>
  <si>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</si>
  <si>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</si>
  <si>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</si>
  <si>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</si>
  <si>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</si>
  <si>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</si>
  <si>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</si>
  <si>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</si>
  <si>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</si>
  <si>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</si>
  <si>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</si>
  <si>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</si>
  <si>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</si>
  <si>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</si>
  <si>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</si>
  <si>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</si>
  <si>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</si>
  <si>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</si>
  <si>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</si>
  <si>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</si>
  <si>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</si>
  <si>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</si>
  <si>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</si>
  <si>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</si>
  <si>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</si>
  <si>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</si>
  <si>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</si>
  <si>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</si>
  <si>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</si>
  <si>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</si>
  <si>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</si>
  <si>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</si>
  <si>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</si>
  <si>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</si>
  <si>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</si>
  <si>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</si>
  <si>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</si>
  <si>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</si>
  <si>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</si>
  <si>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</si>
  <si>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</si>
  <si>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</si>
  <si>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</si>
  <si>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</si>
  <si>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</si>
  <si>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</si>
  <si>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</si>
  <si>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</si>
  <si>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</si>
  <si>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</si>
  <si>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</si>
  <si>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</si>
  <si>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</si>
  <si>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</si>
  <si>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</si>
  <si>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</si>
  <si>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</si>
  <si>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</si>
  <si>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</si>
  <si>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</si>
  <si>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</si>
  <si>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</si>
  <si>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</si>
  <si>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</si>
  <si>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</si>
  <si>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</si>
  <si>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</si>
  <si>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</si>
  <si>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</si>
  <si>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</si>
  <si>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</si>
  <si>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</si>
  <si>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</si>
  <si>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</si>
  <si>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</si>
  <si>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</si>
  <si>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</si>
  <si>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</si>
  <si>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</si>
  <si>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</si>
  <si>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</si>
  <si>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</si>
  <si>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</si>
  <si>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</si>
  <si>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</si>
  <si>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</si>
  <si>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</si>
  <si>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</si>
  <si>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</si>
  <si>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</si>
  <si>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</si>
  <si>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</si>
  <si>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</si>
  <si>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</si>
  <si>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</si>
  <si>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</si>
  <si>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</si>
  <si>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</si>
  <si>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</si>
  <si>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</si>
  <si>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</si>
  <si>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</si>
  <si>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</si>
  <si>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</si>
  <si>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</si>
  <si>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</si>
  <si>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</si>
  <si>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</si>
  <si>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</si>
  <si>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</si>
  <si>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</si>
  <si>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</si>
  <si>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</si>
  <si>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</si>
  <si>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</si>
  <si>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</si>
  <si>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</si>
  <si>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</si>
  <si>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</si>
  <si>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</si>
  <si>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</si>
  <si>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</si>
  <si>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</si>
  <si>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</si>
  <si>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</si>
  <si>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</si>
  <si>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</si>
  <si>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</si>
  <si>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</si>
  <si>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</si>
  <si>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</si>
  <si>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</si>
  <si>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</si>
  <si>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</si>
  <si>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</si>
  <si>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</si>
  <si>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</si>
  <si>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</si>
  <si>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</si>
  <si>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</si>
  <si>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</si>
  <si>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</si>
  <si>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</si>
  <si>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</si>
  <si>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</si>
  <si>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</si>
  <si>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</si>
  <si>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</si>
  <si>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</si>
  <si>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</si>
  <si>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</si>
  <si>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</si>
  <si>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</si>
  <si>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</si>
  <si>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</si>
  <si>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</si>
  <si>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</si>
  <si>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</si>
  <si>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</si>
  <si>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</si>
  <si>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</si>
  <si>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</si>
  <si>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</si>
  <si>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</si>
  <si>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</si>
  <si>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</si>
  <si>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</si>
  <si>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</si>
  <si>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</si>
  <si>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</si>
  <si>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</si>
  <si>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</si>
  <si>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</si>
  <si>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</si>
  <si>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</si>
  <si>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</si>
  <si>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</si>
  <si>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</si>
  <si>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</si>
  <si>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</si>
  <si>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</si>
  <si>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</si>
  <si>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</si>
  <si>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</si>
  <si>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</si>
  <si>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</si>
  <si>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</si>
  <si>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</si>
  <si>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</si>
  <si>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</si>
  <si>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</si>
  <si>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</si>
  <si>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</si>
  <si>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</si>
  <si>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</si>
  <si>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</si>
  <si>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</si>
  <si>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</si>
  <si>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</si>
  <si>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</si>
  <si>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</si>
  <si>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</si>
  <si>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</si>
  <si>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</si>
  <si>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</si>
  <si>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</si>
  <si>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</si>
  <si>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</si>
  <si>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</si>
  <si>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</si>
  <si>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</si>
  <si>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</si>
  <si>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</si>
  <si>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</si>
  <si>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</si>
  <si>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</si>
  <si>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</si>
  <si>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</si>
  <si>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</si>
  <si>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</si>
  <si>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</si>
  <si>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</si>
  <si>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</si>
  <si>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</si>
  <si>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</si>
  <si>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</si>
  <si>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</si>
  <si>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</si>
  <si>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</si>
  <si>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</si>
  <si>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</si>
  <si>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</si>
  <si>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</si>
  <si>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</si>
  <si>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</si>
  <si>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</si>
  <si>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</si>
  <si>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</si>
  <si>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</si>
  <si>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</si>
  <si>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</si>
  <si>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</si>
  <si>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</si>
  <si>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</si>
  <si>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</si>
  <si>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</si>
  <si>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</si>
  <si>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</si>
  <si>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</si>
  <si>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</si>
  <si>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</si>
  <si>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</si>
  <si>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</si>
  <si>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</si>
  <si>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</si>
  <si>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</si>
  <si>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</si>
  <si>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</si>
  <si>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</si>
  <si>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</si>
  <si>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</si>
  <si>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</si>
  <si>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</si>
  <si>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</si>
  <si>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</si>
  <si>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</si>
  <si>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</si>
  <si>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</si>
  <si>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</si>
  <si>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</si>
  <si>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</si>
  <si>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</si>
  <si>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</si>
  <si>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</si>
  <si>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</si>
  <si>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</si>
  <si>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</si>
  <si>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</si>
  <si>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</si>
  <si>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</si>
  <si>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</si>
  <si>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</si>
  <si>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</si>
  <si>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</si>
  <si>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</si>
  <si>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</si>
  <si>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</si>
  <si>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</si>
  <si>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</si>
  <si>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</si>
  <si>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</si>
  <si>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</si>
  <si>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</si>
  <si>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</si>
  <si>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</si>
  <si>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</si>
  <si>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</si>
  <si>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</si>
  <si>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</si>
  <si>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</si>
  <si>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</si>
  <si>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</si>
  <si>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</si>
  <si>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</si>
  <si>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</si>
  <si>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</si>
  <si>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</si>
  <si>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</si>
  <si>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</si>
  <si>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</si>
  <si>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</si>
  <si>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</si>
  <si>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</si>
  <si>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</si>
  <si>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</si>
  <si>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</si>
  <si>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</si>
  <si>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</si>
  <si>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</si>
  <si>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</si>
  <si>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</si>
  <si>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</si>
  <si>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</si>
  <si>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</si>
  <si>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</si>
  <si>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</si>
  <si>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</si>
  <si>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</si>
  <si>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</si>
  <si>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</si>
  <si>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</si>
  <si>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</si>
  <si>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</si>
  <si>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</si>
  <si>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</si>
  <si>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</si>
  <si>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</si>
  <si>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</si>
  <si>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</si>
  <si>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</si>
  <si>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</si>
  <si>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</si>
  <si>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</si>
  <si>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</si>
  <si>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</si>
  <si>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</si>
  <si>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</si>
  <si>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</si>
  <si>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</si>
  <si>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</si>
  <si>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</si>
  <si>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</si>
  <si>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</si>
  <si>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</si>
  <si>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</si>
  <si>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</si>
  <si>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</si>
  <si>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</si>
  <si>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</si>
  <si>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</si>
  <si>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</si>
  <si>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</si>
  <si>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</si>
  <si>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</si>
  <si>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</si>
  <si>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</si>
  <si>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</si>
  <si>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</si>
  <si>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</si>
  <si>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</si>
  <si>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</si>
  <si>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</si>
  <si>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</si>
  <si>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</si>
  <si>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</si>
  <si>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</si>
  <si>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</si>
  <si>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</si>
  <si>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</si>
  <si>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</si>
  <si>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</si>
  <si>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</si>
  <si>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</si>
  <si>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</si>
  <si>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</si>
  <si>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</si>
  <si>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</si>
  <si>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</si>
  <si>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</si>
  <si>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</si>
  <si>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</si>
  <si>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</si>
  <si>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</si>
  <si>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</si>
  <si>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</si>
  <si>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</si>
  <si>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</si>
  <si>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</si>
  <si>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</si>
  <si>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</si>
  <si>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</si>
  <si>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</si>
  <si>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</si>
  <si>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</si>
  <si>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</si>
  <si>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</si>
  <si>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</si>
  <si>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</si>
  <si>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</si>
  <si>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</si>
  <si>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</si>
  <si>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</si>
  <si>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</si>
  <si>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</si>
  <si>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</si>
  <si>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</si>
  <si>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</si>
  <si>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</si>
  <si>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</si>
  <si>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</si>
  <si>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</si>
  <si>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</si>
  <si>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</si>
  <si>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</si>
  <si>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</si>
  <si>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</si>
  <si>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</si>
  <si>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</si>
  <si>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</si>
  <si>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</si>
  <si>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</si>
  <si>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</si>
  <si>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</si>
  <si>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</si>
  <si>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</si>
  <si>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</si>
  <si>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</si>
  <si>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</si>
  <si>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</si>
  <si>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</si>
  <si>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</si>
  <si>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</si>
  <si>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</si>
  <si>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</si>
  <si>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</si>
  <si>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</si>
  <si>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</si>
  <si>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</si>
  <si>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</si>
  <si>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</si>
  <si>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</si>
  <si>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</si>
  <si>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</si>
  <si>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</si>
  <si>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</si>
  <si>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</si>
  <si>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</si>
  <si>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</si>
  <si>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</si>
  <si>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</si>
  <si>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</si>
  <si>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</si>
  <si>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</si>
  <si>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</si>
  <si>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</si>
  <si>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</si>
  <si>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</si>
  <si>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</si>
  <si>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</si>
  <si>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</si>
  <si>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</si>
  <si>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</si>
  <si>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</si>
  <si>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</si>
  <si>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</si>
  <si>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</si>
  <si>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</si>
  <si>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</si>
  <si>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</si>
  <si>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</si>
  <si>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</si>
  <si>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</si>
  <si>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</si>
  <si>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</si>
  <si>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</si>
  <si>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</si>
  <si>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</si>
  <si>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</si>
  <si>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</si>
  <si>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</si>
  <si>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</si>
  <si>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</si>
  <si>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</si>
  <si>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</si>
  <si>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</si>
  <si>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</si>
  <si>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</si>
  <si>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</si>
  <si>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</si>
  <si>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</si>
  <si>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</si>
  <si>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</si>
  <si>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</si>
  <si>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</si>
  <si>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</si>
  <si>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</si>
  <si>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</si>
  <si>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</si>
  <si>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</si>
  <si>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</si>
  <si>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</si>
  <si>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</si>
  <si>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</si>
  <si>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</si>
  <si>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</si>
  <si>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</si>
  <si>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</si>
  <si>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</si>
  <si>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</si>
  <si>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</si>
  <si>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</si>
  <si>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</si>
  <si>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</si>
  <si>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</si>
  <si>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</si>
  <si>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</si>
  <si>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</si>
  <si>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</si>
  <si>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</si>
  <si>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</si>
  <si>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</si>
  <si>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</si>
  <si>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</si>
  <si>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</si>
  <si>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</si>
  <si>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</si>
  <si>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</si>
  <si>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</si>
  <si>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</si>
  <si>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</si>
  <si>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</si>
  <si>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</si>
  <si>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</si>
  <si>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</si>
  <si>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</si>
  <si>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</si>
  <si>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</si>
  <si>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</si>
  <si>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</si>
  <si>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</si>
  <si>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</si>
  <si>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</si>
  <si>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</si>
  <si>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</si>
  <si>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</si>
  <si>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</si>
  <si>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</si>
  <si>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</si>
  <si>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</si>
  <si>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</si>
  <si>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</si>
  <si>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</si>
  <si>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</si>
  <si>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</si>
  <si>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</si>
  <si>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</si>
  <si>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</si>
  <si>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</si>
  <si>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</si>
  <si>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</si>
  <si>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</si>
  <si>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</si>
  <si>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</si>
  <si>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</si>
  <si>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</si>
  <si>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</si>
  <si>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Medium</t>
  </si>
  <si>
    <t/>
  </si>
  <si>
    <t>Light</t>
  </si>
  <si>
    <t>Dark</t>
  </si>
  <si>
    <t>Details for Sum of Sales - Months (Order Date): Dec, Years (Order Date): 2019, Coffee Type Name: Arabica</t>
  </si>
  <si>
    <t>Sum of Quantity</t>
  </si>
  <si>
    <t>Total Orders</t>
  </si>
  <si>
    <t>Row Labels</t>
  </si>
  <si>
    <t>Total Revenue</t>
  </si>
  <si>
    <t>Revenue</t>
  </si>
  <si>
    <t>Total Quantity</t>
  </si>
  <si>
    <t>Quantity Sold</t>
  </si>
  <si>
    <t>Total Quantity Sold</t>
  </si>
  <si>
    <t>Revenue by Country</t>
  </si>
  <si>
    <t>Revenue and quantity sold by coffee type</t>
  </si>
  <si>
    <t>Top Customers by Quantity bought</t>
  </si>
  <si>
    <t>Top Customers by revenue</t>
  </si>
  <si>
    <t>Quantity sold by roast type</t>
  </si>
  <si>
    <t>Quantity sold by size</t>
  </si>
  <si>
    <t>Total Sales Overtime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</si>
</sst>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
    <numFmt numFmtId="165" formatCode="dd/mmm/yyyy"/>
    <numFmt numFmtId="166" formatCode="0.0\ &quot;kg&quot;"/>
    <numFmt numFmtId="167" formatCode="_-[$$-409]* #,##0.00_ ;_-[$$-409]* \-#,##0.00\ ;_-[$$-409]* &quot;-&quot;??_ ;_-@_ "/>
    <numFmt numFmtId="168" formatCode="#,##0_ ;\-#,##0\ "/>
    <numFmt numFmtId="169" formatCode="\$0"/>
    <numFmt numFmtId="170" formatCode="\$#,#00"/>
  </numFmts>
  <fonts count="5"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
      <sz val="11"/>
      <color rgb="FFFF0000"/>
      <name val="Calibri"/>
      <family val="2"/>
      <scheme val="minor"/>
    </font>
  </fonts>
  <fills count="4">
    <fill>
      <patternFill patternType="none"/>
    </fill>
    <fill>
      <patternFill patternType="gray125"/>
    </fill>
    <fill>
      <patternFill patternType="solid">
        <fgColor theme="5" tint="-0.499984740745262"/>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0" fontId="3" fillId="0" borderId="0" xfId="0" applyFont="1" applyAlignment="1">
      <alignment vertical="center"/>
    </xf>
    <xf numFmtId="0" fontId="2" fillId="0" borderId="0" xfId="0" applyFont="1"/>
    <xf numFmtId="166" fontId="0" fillId="0" borderId="0" xfId="0" applyNumberFormat="1"/>
    <xf numFmtId="167" fontId="0" fillId="0" borderId="0" xfId="0" applyNumberFormat="1"/>
    <xf numFmtId="0" fontId="0" fillId="0" borderId="0" xfId="0" pivotButton="1"/>
    <xf numFmtId="168" fontId="0" fillId="0" borderId="0" xfId="0" applyNumberFormat="1"/>
    <xf numFmtId="14" fontId="0" fillId="0" borderId="0" xfId="0" applyNumberFormat="1"/>
    <xf numFmtId="0" fontId="0" fillId="0" borderId="0" xfId="0" applyAlignment="1">
      <alignment horizontal="left"/>
    </xf>
    <xf numFmtId="166" fontId="0" fillId="0" borderId="0" xfId="0" applyNumberFormat="1" applyAlignment="1">
      <alignment horizontal="left"/>
    </xf>
    <xf numFmtId="169" fontId="0" fillId="0" borderId="0" xfId="0" applyNumberFormat="1"/>
    <xf numFmtId="0" fontId="4" fillId="2" borderId="0" xfId="0" applyFont="1" applyFill="1"/>
    <xf numFmtId="0" fontId="0" fillId="2" borderId="0" xfId="0" applyFill="1"/>
    <xf numFmtId="170" fontId="0" fillId="0" borderId="0" xfId="0" applyNumberFormat="1"/>
    <xf numFmtId="3" fontId="0" fillId="0" borderId="0" xfId="0" applyNumberFormat="1"/>
    <xf numFmtId="0" fontId="0" fillId="3" borderId="0" xfId="0" applyFill="1"/>
  </cellXfs>
  <cellStyles count="1">
    <cellStyle name="Normal" xfId="0" builtinId="0"/>
  </cellStyles>
  <dxfs count="26">
    <dxf>
      <numFmt numFmtId="3" formatCode="#,##0"/>
    </dxf>
    <dxf>
      <numFmt numFmtId="169" formatCode="\$0"/>
    </dxf>
    <dxf>
      <numFmt numFmtId="169" formatCode="\$0"/>
    </dxf>
    <dxf>
      <numFmt numFmtId="170" formatCode="\$#,#00"/>
    </dxf>
    <dxf>
      <numFmt numFmtId="3" formatCode="#,##0"/>
    </dxf>
    <dxf>
      <numFmt numFmtId="169" formatCode="\$0"/>
    </dxf>
    <dxf>
      <numFmt numFmtId="169" formatCode="\$0"/>
    </dxf>
    <dxf>
      <numFmt numFmtId="3" formatCode="#,##0"/>
    </dxf>
    <dxf>
      <numFmt numFmtId="3" formatCode="#,##0"/>
    </dxf>
    <dxf>
      <numFmt numFmtId="170" formatCode="\$#,#00"/>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9" formatCode="dd/mm/yyyy"/>
    </dxf>
    <dxf>
      <font>
        <b/>
        <i val="0"/>
        <color theme="1"/>
      </font>
    </dxf>
    <dxf>
      <font>
        <color theme="1"/>
      </font>
      <fill>
        <patternFill>
          <bgColor theme="5" tint="0.39994506668294322"/>
        </patternFill>
      </fill>
      <border>
        <left style="thin">
          <color theme="1"/>
        </left>
        <right style="thin">
          <color theme="1"/>
        </right>
        <top style="thin">
          <color theme="1"/>
        </top>
        <bottom style="thin">
          <color theme="1"/>
        </bottom>
      </border>
    </dxf>
    <dxf>
      <font>
        <b/>
        <i val="0"/>
        <sz val="12"/>
        <color theme="1"/>
        <name val="Calibri"/>
        <family val="2"/>
        <scheme val="minor"/>
      </font>
    </dxf>
    <dxf>
      <font>
        <color theme="0"/>
      </font>
      <fill>
        <patternFill patternType="solid">
          <fgColor theme="0"/>
          <bgColor theme="5" tint="0.39994506668294322"/>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s>
  <tableStyles count="2" defaultTableStyle="TableStyleMedium2" defaultPivotStyle="PivotStyleMedium9">
    <tableStyle name="Coffee Timeline" pivot="0" table="0" count="9" xr9:uid="{603B8570-2A1A-4446-9FDA-33A895D385C0}">
      <tableStyleElement type="wholeTable" dxfId="25"/>
      <tableStyleElement type="headerRow" dxfId="24"/>
    </tableStyle>
    <tableStyle name="Slicer Style 1" pivot="0" table="0" count="8" xr9:uid="{0357CBDD-3560-4522-B105-058C53F674B1}">
      <tableStyleElement type="wholeTable" dxfId="23"/>
      <tableStyleElement type="headerRow" dxfId="22"/>
    </tableStyle>
  </tableStyles>
  <colors>
    <mruColors>
      <color rgb="FFA24A0E"/>
      <color rgb="FFF2A672"/>
      <color rgb="FF5E665A"/>
    </mruColors>
  </colors>
  <extLst>
    <ext xmlns:x14="http://schemas.microsoft.com/office/spreadsheetml/2009/9/main" uri="{46F421CA-312F-682f-3DD2-61675219B42D}">
      <x14:dxfs count="6">
        <dxf>
          <font>
            <strike/>
          </font>
        </dxf>
        <dxf>
          <font>
            <strike/>
          </font>
          <fill>
            <patternFill>
              <bgColor theme="5" tint="0.79998168889431442"/>
            </patternFill>
          </fill>
        </dxf>
        <dxf>
          <font>
            <strike val="0"/>
          </font>
          <fill>
            <patternFill>
              <bgColor theme="2"/>
            </patternFill>
          </fill>
          <border diagonalDown="1">
            <left style="thin">
              <color theme="1"/>
            </left>
            <right style="thin">
              <color theme="1"/>
            </right>
            <top style="thin">
              <color theme="1"/>
            </top>
            <bottom style="thin">
              <color theme="1"/>
            </bottom>
            <diagonal style="thin">
              <color theme="1"/>
            </diagonal>
          </border>
        </dxf>
        <dxf>
          <font>
            <strike val="0"/>
          </font>
          <fill>
            <patternFill>
              <bgColor theme="5" tint="0.79998168889431442"/>
            </patternFill>
          </fill>
          <border>
            <left style="thin">
              <color theme="1"/>
            </left>
            <right style="thin">
              <color theme="1"/>
            </right>
            <top style="thin">
              <color theme="1"/>
            </top>
            <bottom style="thin">
              <color theme="1"/>
            </bottom>
          </border>
        </dxf>
        <dxf>
          <font>
            <strike/>
            <color theme="1"/>
          </font>
        </dxf>
        <dxf>
          <font>
            <strike/>
            <color theme="1"/>
          </font>
          <border>
            <left style="thin">
              <color theme="1"/>
            </left>
            <right style="thin">
              <color theme="1"/>
            </right>
            <top style="thin">
              <color theme="1"/>
            </top>
            <bottom style="thin">
              <color theme="1"/>
            </bottom>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1"/>
            </patternFill>
          </fill>
        </dxf>
        <dxf>
          <fill>
            <patternFill patternType="solid">
              <fgColor theme="0" tint="-0.14999847407452621"/>
              <bgColor theme="0" tint="-0.14999847407452621"/>
            </patternFill>
          </fill>
          <border>
            <left style="thin">
              <color theme="1"/>
            </left>
            <right style="thin">
              <color theme="1"/>
            </right>
            <top style="thin">
              <color theme="1"/>
            </top>
            <bottom style="thin">
              <color theme="1"/>
            </bottom>
          </border>
        </dxf>
        <dxf>
          <fill>
            <patternFill patternType="solid">
              <fgColor theme="0"/>
              <bgColor theme="5" tint="-0.499984740745262"/>
            </patternFill>
          </fill>
          <border>
            <left style="thin">
              <color theme="1"/>
            </left>
            <right style="thin">
              <color theme="1"/>
            </right>
            <top style="thin">
              <color theme="1"/>
            </top>
            <bottom style="thin">
              <color theme="1"/>
            </bottom>
          </border>
        </dxf>
        <dxf>
          <font>
            <b/>
            <i val="0"/>
            <sz val="9"/>
            <color theme="1"/>
            <name val="Calibri"/>
            <family val="2"/>
            <scheme val="minor"/>
          </font>
        </dxf>
        <dxf>
          <font>
            <b/>
            <i val="0"/>
            <sz val="9"/>
            <color theme="1"/>
            <name val="Calibri"/>
            <family val="2"/>
            <scheme val="minor"/>
          </font>
        </dxf>
        <dxf>
          <font>
            <b/>
            <i val="0"/>
            <sz val="10"/>
            <color theme="1"/>
            <name val="Calibri"/>
            <family val="2"/>
            <scheme val="minor"/>
          </font>
        </dxf>
        <dxf>
          <font>
            <b/>
            <i val="0"/>
            <sz val="10"/>
            <color theme="1"/>
            <name val="Calibri"/>
            <family val="2"/>
            <scheme val="minor"/>
          </font>
        </dxf>
      </x15:dxfs>
    </ext>
    <ext xmlns:x15="http://schemas.microsoft.com/office/spreadsheetml/2010/11/main" uri="{9260A510-F301-46a8-8635-F512D64BE5F5}">
      <x15:timelineStyles defaultTimelineStyle="TimeSlicerStyleLight1">
        <x15:timelineStyle name="Coffee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[coffee_sales_analysis.xlsx]Total Revenue Overtime!Total Sales</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a:solidFill>
                  <a:schemeClr val="tx1"/>
                </a:solidFill>
              </a:rPr>
              <a:t>Total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Revenue Overtime'!$C$3:$C$4</c:f>
              <c:strCache>
                <c:ptCount val="1"/>
                <c:pt idx="0">
                  <c:v>Arabica</c:v>
                </c:pt>
              </c:strCache>
            </c:strRef>
          </c:tx>
          <c:spPr>
            <a:ln w="28575" cap="rnd">
              <a:solidFill>
                <a:srgbClr val="FFFF00"/>
              </a:solidFill>
              <a:round/>
            </a:ln>
            <a:effectLst/>
          </c:spPr>
          <c:marker>
            <c:symbol val="none"/>
          </c:marker>
          <c:cat>
            <c:multiLvlStrRef>
              <c:f>'Total Revenue 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Revenue Overtime'!$C$5:$C$48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3-1B3C-4F08-B189-62903C502D4A}"/>
            </c:ext>
          </c:extLst>
        </c:ser>
        <c:ser>
          <c:idx val="1"/>
          <c:order val="1"/>
          <c:tx>
            <c:strRef>
              <c:f>'Total Revenue Overtime'!$D$3:$D$4</c:f>
              <c:strCache>
                <c:ptCount val="1"/>
                <c:pt idx="0">
                  <c:v>Excelsa</c:v>
                </c:pt>
              </c:strCache>
            </c:strRef>
          </c:tx>
          <c:spPr>
            <a:ln w="28575" cap="rnd">
              <a:solidFill>
                <a:srgbClr val="C00000"/>
              </a:solidFill>
              <a:round/>
            </a:ln>
            <a:effectLst/>
          </c:spPr>
          <c:marker>
            <c:symbol val="none"/>
          </c:marker>
          <c:cat>
            <c:multiLvlStrRef>
              <c:f>'Total Revenue 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Revenue Overtime'!$D$5:$D$48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8-1B3C-4F08-B189-62903C502D4A}"/>
            </c:ext>
          </c:extLst>
        </c:ser>
        <c:ser>
          <c:idx val="2"/>
          <c:order val="2"/>
          <c:tx>
            <c:strRef>
              <c:f>'Total Revenue Overtime'!$E$3:$E$4</c:f>
              <c:strCache>
                <c:ptCount val="1"/>
                <c:pt idx="0">
                  <c:v>Liberica</c:v>
                </c:pt>
              </c:strCache>
            </c:strRef>
          </c:tx>
          <c:spPr>
            <a:ln w="28575" cap="rnd">
              <a:solidFill>
                <a:schemeClr val="accent5">
                  <a:lumMod val="50000"/>
                </a:schemeClr>
              </a:solidFill>
              <a:round/>
            </a:ln>
            <a:effectLst/>
          </c:spPr>
          <c:marker>
            <c:symbol val="none"/>
          </c:marker>
          <c:cat>
            <c:multiLvlStrRef>
              <c:f>'Total Revenue 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Revenue Overtime'!$E$5:$E$48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9-1B3C-4F08-B189-62903C502D4A}"/>
            </c:ext>
          </c:extLst>
        </c:ser>
        <c:ser>
          <c:idx val="3"/>
          <c:order val="3"/>
          <c:tx>
            <c:strRef>
              <c:f>'Total Revenue Overtime'!$F$3:$F$4</c:f>
              <c:strCache>
                <c:ptCount val="1"/>
                <c:pt idx="0">
                  <c:v>Robusta</c:v>
                </c:pt>
              </c:strCache>
            </c:strRef>
          </c:tx>
          <c:spPr>
            <a:ln w="28575" cap="rnd">
              <a:solidFill>
                <a:srgbClr val="00B050"/>
              </a:solidFill>
              <a:round/>
            </a:ln>
            <a:effectLst/>
          </c:spPr>
          <c:marker>
            <c:symbol val="none"/>
          </c:marker>
          <c:cat>
            <c:multiLvlStrRef>
              <c:f>'Total Revenue 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Revenue Overtime'!$F$5:$F$48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A-1B3C-4F08-B189-62903C502D4A}"/>
            </c:ext>
          </c:extLst>
        </c:ser>
        <c:dLbls>
          <c:showLegendKey val="0"/>
          <c:showVal val="0"/>
          <c:showCatName val="0"/>
          <c:showSerName val="0"/>
          <c:showPercent val="0"/>
          <c:showBubbleSize val="0"/>
        </c:dLbls>
        <c:smooth val="0"/>
        <c:axId val="1988273536"/>
        <c:axId val="1984856992"/>
      </c:lineChart>
      <c:catAx>
        <c:axId val="198827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4856992"/>
        <c:crosses val="autoZero"/>
        <c:auto val="1"/>
        <c:lblAlgn val="ctr"/>
        <c:lblOffset val="100"/>
        <c:noMultiLvlLbl val="0"/>
      </c:catAx>
      <c:valAx>
        <c:axId val="198485699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sz="1200" b="1" i="0" baseline="0"/>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827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A672"/>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[coffee_sales_analysis.xlsx]Total Revenue Overtime!PivotTable1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Revenue Overtime'!$B$54</c:f>
              <c:strCache>
                <c:ptCount val="1"/>
                <c:pt idx="0">
                  <c:v>Total</c:v>
                </c:pt>
              </c:strCache>
            </c:strRef>
          </c:tx>
          <c:spPr>
            <a:ln w="28575" cap="rnd">
              <a:solidFill>
                <a:schemeClr val="accent1"/>
              </a:solidFill>
              <a:round/>
            </a:ln>
            <a:effectLst/>
          </c:spPr>
          <c:marker>
            <c:symbol val="none"/>
          </c:marker>
          <c:cat>
            <c:strRef>
              <c:f>'Total Revenue Overtime'!$A$55:$A$66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Revenue Overtime'!$B$55:$B$66</c:f>
              <c:numCache>
                <c:formatCode>#,##0_ ;\-#,##0\ </c:formatCode>
                <c:ptCount val="12"/>
                <c:pt idx="0">
                  <c:v>3503.0350000000008</c:v>
                </c:pt>
                <c:pt idx="1">
                  <c:v>4138.2050000000008</c:v>
                </c:pt>
                <c:pt idx="2">
                  <c:v>4795.7750000000015</c:v>
                </c:pt>
                <c:pt idx="3">
                  <c:v>4224.5949999999993</c:v>
                </c:pt>
                <c:pt idx="4">
                  <c:v>3247.98</c:v>
                </c:pt>
                <c:pt idx="5">
                  <c:v>4843.04</c:v>
                </c:pt>
                <c:pt idx="6">
                  <c:v>3982.915</c:v>
                </c:pt>
                <c:pt idx="7">
                  <c:v>2326.9</c:v>
                </c:pt>
                <c:pt idx="8">
                  <c:v>3633.6449999999991</c:v>
                </c:pt>
                <c:pt idx="9">
                  <c:v>3800.0750000000007</c:v>
                </c:pt>
                <c:pt idx="10">
                  <c:v>3548.4299999999994</c:v>
                </c:pt>
                <c:pt idx="11">
                  <c:v>3089.6600000000003</c:v>
                </c:pt>
              </c:numCache>
            </c:numRef>
          </c:val>
          <c:smooth val="0"/>
          <c:extLst>
            <c:ext xmlns:c16="http://schemas.microsoft.com/office/drawing/2014/chart" uri="{C3380CC4-5D6E-409C-BE32-E72D297353CC}">
              <c16:uniqueId val="{00000000-2D22-4DA1-BB02-12A7F7FCEEC9}"/>
            </c:ext>
          </c:extLst>
        </c:ser>
        <c:dLbls>
          <c:showLegendKey val="0"/>
          <c:showVal val="0"/>
          <c:showCatName val="0"/>
          <c:showSerName val="0"/>
          <c:showPercent val="0"/>
          <c:showBubbleSize val="0"/>
        </c:dLbls>
        <c:smooth val="0"/>
        <c:axId val="1334065679"/>
        <c:axId val="1334049839"/>
      </c:lineChart>
      <c:catAx>
        <c:axId val="133406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49839"/>
        <c:crosses val="autoZero"/>
        <c:auto val="1"/>
        <c:lblAlgn val="ctr"/>
        <c:lblOffset val="100"/>
        <c:noMultiLvlLbl val="0"/>
      </c:catAx>
      <c:valAx>
        <c:axId val="1334049839"/>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65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[coffee_sales_analysis.xlsx]Total Revenue Overtime!PivotTable3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Revenue Overtime'!$C$77</c:f>
              <c:strCache>
                <c:ptCount val="1"/>
                <c:pt idx="0">
                  <c:v>Total</c:v>
                </c:pt>
              </c:strCache>
            </c:strRef>
          </c:tx>
          <c:spPr>
            <a:ln w="28575" cap="rnd">
              <a:solidFill>
                <a:schemeClr val="accent1"/>
              </a:solidFill>
              <a:round/>
            </a:ln>
            <a:effectLst/>
          </c:spPr>
          <c:marker>
            <c:symbol val="none"/>
          </c:marker>
          <c:cat>
            <c:multiLvlStrRef>
              <c:f>'Total Revenue Overtime'!$A$78:$B$121</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Revenue Overtime'!$C$78:$C$121</c:f>
              <c:numCache>
                <c:formatCode>#,##0_ ;\-#,##0\ </c:formatCode>
                <c:ptCount val="44"/>
                <c:pt idx="0">
                  <c:v>828.9849999999999</c:v>
                </c:pt>
                <c:pt idx="1">
                  <c:v>987.40499999999997</c:v>
                </c:pt>
                <c:pt idx="2">
                  <c:v>1021.1399999999998</c:v>
                </c:pt>
                <c:pt idx="3">
                  <c:v>1680.7499999999998</c:v>
                </c:pt>
                <c:pt idx="4">
                  <c:v>398.565</c:v>
                </c:pt>
                <c:pt idx="5">
                  <c:v>1384.6799999999998</c:v>
                </c:pt>
                <c:pt idx="6">
                  <c:v>1004.135</c:v>
                </c:pt>
                <c:pt idx="7">
                  <c:v>706.34500000000003</c:v>
                </c:pt>
                <c:pt idx="8">
                  <c:v>1277.0199999999998</c:v>
                </c:pt>
                <c:pt idx="9">
                  <c:v>884.96999999999991</c:v>
                </c:pt>
                <c:pt idx="10">
                  <c:v>823.38499999999988</c:v>
                </c:pt>
                <c:pt idx="11">
                  <c:v>1189.7849999999999</c:v>
                </c:pt>
                <c:pt idx="12">
                  <c:v>566.94999999999993</c:v>
                </c:pt>
                <c:pt idx="13">
                  <c:v>1798.3399999999997</c:v>
                </c:pt>
                <c:pt idx="14">
                  <c:v>914.78999999999985</c:v>
                </c:pt>
                <c:pt idx="15">
                  <c:v>761.80999999999983</c:v>
                </c:pt>
                <c:pt idx="16">
                  <c:v>939.35500000000013</c:v>
                </c:pt>
                <c:pt idx="17">
                  <c:v>1438.4399999999998</c:v>
                </c:pt>
                <c:pt idx="18">
                  <c:v>1308.9449999999999</c:v>
                </c:pt>
                <c:pt idx="19">
                  <c:v>300.39999999999998</c:v>
                </c:pt>
                <c:pt idx="20">
                  <c:v>713.05</c:v>
                </c:pt>
                <c:pt idx="21">
                  <c:v>1514.7049999999999</c:v>
                </c:pt>
                <c:pt idx="22">
                  <c:v>1108.865</c:v>
                </c:pt>
                <c:pt idx="23">
                  <c:v>751.89499999999975</c:v>
                </c:pt>
                <c:pt idx="24">
                  <c:v>837.68499999999995</c:v>
                </c:pt>
                <c:pt idx="25">
                  <c:v>958.82999999999981</c:v>
                </c:pt>
                <c:pt idx="26">
                  <c:v>1544.64</c:v>
                </c:pt>
                <c:pt idx="27">
                  <c:v>1005.5849999999998</c:v>
                </c:pt>
                <c:pt idx="28">
                  <c:v>907.69</c:v>
                </c:pt>
                <c:pt idx="29">
                  <c:v>864.52999999999986</c:v>
                </c:pt>
                <c:pt idx="30">
                  <c:v>763.1049999999999</c:v>
                </c:pt>
                <c:pt idx="31">
                  <c:v>1075.9100000000001</c:v>
                </c:pt>
                <c:pt idx="32">
                  <c:v>1643.5749999999998</c:v>
                </c:pt>
                <c:pt idx="33">
                  <c:v>1400.3999999999996</c:v>
                </c:pt>
                <c:pt idx="34">
                  <c:v>1616.1799999999998</c:v>
                </c:pt>
                <c:pt idx="35">
                  <c:v>1147.98</c:v>
                </c:pt>
                <c:pt idx="36">
                  <c:v>1269.4149999999995</c:v>
                </c:pt>
                <c:pt idx="37">
                  <c:v>393.63</c:v>
                </c:pt>
                <c:pt idx="38">
                  <c:v>1315.2049999999999</c:v>
                </c:pt>
                <c:pt idx="39">
                  <c:v>776.44999999999993</c:v>
                </c:pt>
                <c:pt idx="40">
                  <c:v>1002.37</c:v>
                </c:pt>
                <c:pt idx="41">
                  <c:v>1155.3899999999996</c:v>
                </c:pt>
                <c:pt idx="42">
                  <c:v>906.73</c:v>
                </c:pt>
                <c:pt idx="43">
                  <c:v>244.24499999999998</c:v>
                </c:pt>
              </c:numCache>
            </c:numRef>
          </c:val>
          <c:smooth val="0"/>
          <c:extLst>
            <c:ext xmlns:c16="http://schemas.microsoft.com/office/drawing/2014/chart" uri="{C3380CC4-5D6E-409C-BE32-E72D297353CC}">
              <c16:uniqueId val="{00000000-B1B6-4ABD-B65E-93FA4BB0EAE0}"/>
            </c:ext>
          </c:extLst>
        </c:ser>
        <c:dLbls>
          <c:showLegendKey val="0"/>
          <c:showVal val="0"/>
          <c:showCatName val="0"/>
          <c:showSerName val="0"/>
          <c:showPercent val="0"/>
          <c:showBubbleSize val="0"/>
        </c:dLbls>
        <c:smooth val="0"/>
        <c:axId val="1500391887"/>
        <c:axId val="1500388527"/>
      </c:lineChart>
      <c:catAx>
        <c:axId val="150039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388527"/>
        <c:crosses val="autoZero"/>
        <c:auto val="1"/>
        <c:lblAlgn val="ctr"/>
        <c:lblOffset val="100"/>
        <c:noMultiLvlLbl val="0"/>
      </c:catAx>
      <c:valAx>
        <c:axId val="1500388527"/>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391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[coffee_sales_analysis.xlsx]Revenue by Country!country rev</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alpha val="75000"/>
            </a:schemeClr>
          </a:solidFill>
          <a:ln>
            <a:noFill/>
          </a:ln>
          <a:effectLst/>
        </c:spPr>
      </c:pivotFmt>
      <c:pivotFmt>
        <c:idx val="2"/>
        <c:spPr>
          <a:solidFill>
            <a:schemeClr val="accent1">
              <a:lumMod val="75000"/>
              <a:alpha val="88000"/>
            </a:schemeClr>
          </a:solidFill>
          <a:ln>
            <a:noFill/>
          </a:ln>
          <a:effectLst/>
        </c:spPr>
      </c:pivotFmt>
    </c:pivotFmts>
    <c:plotArea>
      <c:layout/>
      <c:barChart>
        <c:barDir val="bar"/>
        <c:grouping val="clustered"/>
        <c:varyColors val="0"/>
        <c:ser>
          <c:idx val="0"/>
          <c:order val="0"/>
          <c:tx>
            <c:strRef>
              <c:f>'Revenue by Country'!$B$3</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1">
                  <a:lumMod val="75000"/>
                  <a:alpha val="75000"/>
                </a:schemeClr>
              </a:solidFill>
              <a:ln>
                <a:noFill/>
              </a:ln>
              <a:effectLst/>
            </c:spPr>
            <c:extLst>
              <c:ext xmlns:c16="http://schemas.microsoft.com/office/drawing/2014/chart" uri="{C3380CC4-5D6E-409C-BE32-E72D297353CC}">
                <c16:uniqueId val="{00000001-1CEC-4C2C-93C5-8BCACFADE332}"/>
              </c:ext>
            </c:extLst>
          </c:dPt>
          <c:dPt>
            <c:idx val="1"/>
            <c:invertIfNegative val="0"/>
            <c:bubble3D val="0"/>
            <c:spPr>
              <a:solidFill>
                <a:schemeClr val="accent1">
                  <a:lumMod val="75000"/>
                  <a:alpha val="88000"/>
                </a:schemeClr>
              </a:solidFill>
              <a:ln>
                <a:noFill/>
              </a:ln>
              <a:effectLst/>
            </c:spPr>
            <c:extLst>
              <c:ext xmlns:c16="http://schemas.microsoft.com/office/drawing/2014/chart" uri="{C3380CC4-5D6E-409C-BE32-E72D297353CC}">
                <c16:uniqueId val="{00000003-1CEC-4C2C-93C5-8BCACFADE332}"/>
              </c:ext>
            </c:extLst>
          </c:dPt>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Country'!$A$4:$A$6</c:f>
              <c:strCache>
                <c:ptCount val="3"/>
                <c:pt idx="0">
                  <c:v>United Kingdom</c:v>
                </c:pt>
                <c:pt idx="1">
                  <c:v>Ireland</c:v>
                </c:pt>
                <c:pt idx="2">
                  <c:v>United States</c:v>
                </c:pt>
              </c:strCache>
            </c:strRef>
          </c:cat>
          <c:val>
            <c:numRef>
              <c:f>'Revenue by Country'!$B$4:$B$6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7-86F5-464A-9444-AF4DDA3FFDC9}"/>
            </c:ext>
          </c:extLst>
        </c:ser>
        <c:dLbls>
          <c:dLblPos val="outEnd"/>
          <c:showLegendKey val="0"/>
          <c:showVal val="1"/>
          <c:showCatName val="0"/>
          <c:showSerName val="0"/>
          <c:showPercent val="0"/>
          <c:showBubbleSize val="0"/>
        </c:dLbls>
        <c:gapWidth val="182"/>
        <c:axId val="128891120"/>
        <c:axId val="128889680"/>
      </c:barChart>
      <c:catAx>
        <c:axId val="12889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889680"/>
        <c:crosses val="autoZero"/>
        <c:auto val="1"/>
        <c:lblAlgn val="ctr"/>
        <c:lblOffset val="100"/>
        <c:noMultiLvlLbl val="0"/>
      </c:catAx>
      <c:valAx>
        <c:axId val="128889680"/>
        <c:scaling>
          <c:orientation val="minMax"/>
        </c:scaling>
        <c:delete val="0"/>
        <c:axPos val="b"/>
        <c:majorGridlines>
          <c:spPr>
            <a:ln w="9525" cap="flat" cmpd="sng" algn="ctr">
              <a:solidFill>
                <a:schemeClr val="tx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891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[coffee_sales_analysis.xlsx]Top Customers!customer revenue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Customers'!$B$14</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Customers'!$A$15:$A$19</c:f>
              <c:strCache>
                <c:ptCount val="5"/>
                <c:pt idx="0">
                  <c:v>Allis Wilmore</c:v>
                </c:pt>
                <c:pt idx="1">
                  <c:v>Brenn Dundredge</c:v>
                </c:pt>
                <c:pt idx="2">
                  <c:v>Terri Farra</c:v>
                </c:pt>
                <c:pt idx="3">
                  <c:v>Nealson Cuttler</c:v>
                </c:pt>
                <c:pt idx="4">
                  <c:v>Don Flintiff</c:v>
                </c:pt>
              </c:strCache>
            </c:strRef>
          </c:cat>
          <c:val>
            <c:numRef>
              <c:f>'Top Customers'!$B$15:$B$19</c:f>
              <c:numCache>
                <c:formatCode>_-[$$-409]* #,##0.00_ ;_-[$$-409]* \-#,##0.00\ ;_-[$$-409]* "-"??_ ;_-@_ </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3-7A11-4542-9DD1-EEDB43A6E6EF}"/>
            </c:ext>
          </c:extLst>
        </c:ser>
        <c:dLbls>
          <c:dLblPos val="outEnd"/>
          <c:showLegendKey val="0"/>
          <c:showVal val="1"/>
          <c:showCatName val="0"/>
          <c:showSerName val="0"/>
          <c:showPercent val="0"/>
          <c:showBubbleSize val="0"/>
        </c:dLbls>
        <c:gapWidth val="219"/>
        <c:overlap val="-27"/>
        <c:axId val="168136079"/>
        <c:axId val="168152399"/>
      </c:barChart>
      <c:catAx>
        <c:axId val="168136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152399"/>
        <c:crosses val="autoZero"/>
        <c:auto val="1"/>
        <c:lblAlgn val="ctr"/>
        <c:lblOffset val="100"/>
        <c:noMultiLvlLbl val="0"/>
      </c:catAx>
      <c:valAx>
        <c:axId val="168152399"/>
        <c:scaling>
          <c:orientation val="minMax"/>
        </c:scaling>
        <c:delete val="1"/>
        <c:axPos val="l"/>
        <c:numFmt formatCode="_-[$$-409]* #,##0.00_ ;_-[$$-409]* \-#,##0.00\ ;_-[$$-409]* &quot;-&quot;??_ ;_-@_ " sourceLinked="1"/>
        <c:majorTickMark val="out"/>
        <c:minorTickMark val="none"/>
        <c:tickLblPos val="nextTo"/>
        <c:crossAx val="16813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[coffee_sales_analysis.xlsx]Product Analysis!prod rev and quant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Revenue</a:t>
            </a:r>
            <a:r>
              <a:rPr lang="en-IN" sz="2000" b="1" baseline="0">
                <a:solidFill>
                  <a:schemeClr val="tx1"/>
                </a:solidFill>
              </a:rPr>
              <a:t> and Quantity Sold by Coffee Type</a:t>
            </a:r>
            <a:endParaRPr lang="en-IN"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Analysis'!$B$4</c:f>
              <c:strCache>
                <c:ptCount val="1"/>
                <c:pt idx="0">
                  <c:v>Revenue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Analysis'!$A$5:$A$8</c:f>
              <c:strCache>
                <c:ptCount val="4"/>
                <c:pt idx="0">
                  <c:v>Excelsa</c:v>
                </c:pt>
                <c:pt idx="1">
                  <c:v>Liberica</c:v>
                </c:pt>
                <c:pt idx="2">
                  <c:v>Arabica</c:v>
                </c:pt>
                <c:pt idx="3">
                  <c:v>Robusta</c:v>
                </c:pt>
              </c:strCache>
            </c:strRef>
          </c:cat>
          <c:val>
            <c:numRef>
              <c:f>'Product Analysis'!$B$5:$B$8</c:f>
              <c:numCache>
                <c:formatCode>_-[$$-409]* #,##0.00_ ;_-[$$-409]* \-#,##0.00\ ;_-[$$-409]* "-"??_ ;_-@_ </c:formatCode>
                <c:ptCount val="4"/>
                <c:pt idx="0">
                  <c:v>12306.439999999995</c:v>
                </c:pt>
                <c:pt idx="1">
                  <c:v>12054.074999999995</c:v>
                </c:pt>
                <c:pt idx="2">
                  <c:v>11768.494999999997</c:v>
                </c:pt>
                <c:pt idx="3">
                  <c:v>9005.2450000000099</c:v>
                </c:pt>
              </c:numCache>
            </c:numRef>
          </c:val>
          <c:extLst>
            <c:ext xmlns:c16="http://schemas.microsoft.com/office/drawing/2014/chart" uri="{C3380CC4-5D6E-409C-BE32-E72D297353CC}">
              <c16:uniqueId val="{00000006-19FA-4A38-9920-2DB58955CE27}"/>
            </c:ext>
          </c:extLst>
        </c:ser>
        <c:ser>
          <c:idx val="1"/>
          <c:order val="1"/>
          <c:tx>
            <c:strRef>
              <c:f>'Product Analysis'!$C$4</c:f>
              <c:strCache>
                <c:ptCount val="1"/>
                <c:pt idx="0">
                  <c:v>Sum of Quantity</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Analysis'!$A$5:$A$8</c:f>
              <c:strCache>
                <c:ptCount val="4"/>
                <c:pt idx="0">
                  <c:v>Excelsa</c:v>
                </c:pt>
                <c:pt idx="1">
                  <c:v>Liberica</c:v>
                </c:pt>
                <c:pt idx="2">
                  <c:v>Arabica</c:v>
                </c:pt>
                <c:pt idx="3">
                  <c:v>Robusta</c:v>
                </c:pt>
              </c:strCache>
            </c:strRef>
          </c:cat>
          <c:val>
            <c:numRef>
              <c:f>'Product Analysis'!$C$5:$C$8</c:f>
              <c:numCache>
                <c:formatCode>General</c:formatCode>
                <c:ptCount val="4"/>
                <c:pt idx="0">
                  <c:v>872</c:v>
                </c:pt>
                <c:pt idx="1">
                  <c:v>854</c:v>
                </c:pt>
                <c:pt idx="2">
                  <c:v>947</c:v>
                </c:pt>
                <c:pt idx="3">
                  <c:v>878</c:v>
                </c:pt>
              </c:numCache>
            </c:numRef>
          </c:val>
          <c:extLst>
            <c:ext xmlns:c16="http://schemas.microsoft.com/office/drawing/2014/chart" uri="{C3380CC4-5D6E-409C-BE32-E72D297353CC}">
              <c16:uniqueId val="{00000007-19FA-4A38-9920-2DB58955CE27}"/>
            </c:ext>
          </c:extLst>
        </c:ser>
        <c:dLbls>
          <c:dLblPos val="outEnd"/>
          <c:showLegendKey val="0"/>
          <c:showVal val="1"/>
          <c:showCatName val="0"/>
          <c:showSerName val="0"/>
          <c:showPercent val="0"/>
          <c:showBubbleSize val="0"/>
        </c:dLbls>
        <c:gapWidth val="219"/>
        <c:overlap val="-27"/>
        <c:axId val="1248780320"/>
        <c:axId val="1248785120"/>
      </c:barChart>
      <c:catAx>
        <c:axId val="12487803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48785120"/>
        <c:crosses val="autoZero"/>
        <c:auto val="1"/>
        <c:lblAlgn val="ctr"/>
        <c:lblOffset val="100"/>
        <c:noMultiLvlLbl val="0"/>
      </c:catAx>
      <c:valAx>
        <c:axId val="1248785120"/>
        <c:scaling>
          <c:orientation val="minMax"/>
        </c:scaling>
        <c:delete val="1"/>
        <c:axPos val="l"/>
        <c:numFmt formatCode="_-[$$-409]* #,##0.00_ ;_-[$$-409]* \-#,##0.00\ ;_-[$$-409]* &quot;-&quot;??_ ;_-@_ " sourceLinked="1"/>
        <c:majorTickMark val="none"/>
        <c:minorTickMark val="none"/>
        <c:tickLblPos val="nextTo"/>
        <c:crossAx val="1248780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[coffee_sales_analysis.xlsx]Product Analysis!roast type quant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Quantity Sold</a:t>
            </a:r>
            <a:r>
              <a:rPr lang="en-US" sz="2000" b="1" baseline="0">
                <a:solidFill>
                  <a:schemeClr val="tx1"/>
                </a:solidFill>
              </a:rPr>
              <a:t> by Roast Type</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noFill/>
          </a:ln>
          <a:effectLst/>
        </c:spPr>
      </c:pivotFmt>
      <c:pivotFmt>
        <c:idx val="2"/>
        <c:spPr>
          <a:solidFill>
            <a:schemeClr val="accent2">
              <a:lumMod val="20000"/>
              <a:lumOff val="80000"/>
            </a:schemeClr>
          </a:solidFill>
          <a:ln w="19050">
            <a:noFill/>
          </a:ln>
          <a:effectLst/>
        </c:spPr>
      </c:pivotFmt>
      <c:pivotFmt>
        <c:idx val="3"/>
        <c:spPr>
          <a:solidFill>
            <a:schemeClr val="accent4">
              <a:lumMod val="75000"/>
            </a:schemeClr>
          </a:solidFill>
          <a:ln w="19050">
            <a:noFill/>
          </a:ln>
          <a:effectLst/>
        </c:spPr>
      </c:pivotFmt>
    </c:pivotFmts>
    <c:plotArea>
      <c:layout/>
      <c:doughnutChart>
        <c:varyColors val="1"/>
        <c:ser>
          <c:idx val="0"/>
          <c:order val="0"/>
          <c:tx>
            <c:strRef>
              <c:f>'Product Analysis'!$B$34</c:f>
              <c:strCache>
                <c:ptCount val="1"/>
                <c:pt idx="0">
                  <c:v>Total</c:v>
                </c:pt>
              </c:strCache>
            </c:strRef>
          </c:tx>
          <c:spPr>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1-8B5E-40FC-943A-34EE19087C68}"/>
              </c:ext>
            </c:extLst>
          </c:dPt>
          <c:dPt>
            <c:idx val="1"/>
            <c:bubble3D val="0"/>
            <c:spPr>
              <a:solidFill>
                <a:schemeClr val="accent2">
                  <a:lumMod val="20000"/>
                  <a:lumOff val="80000"/>
                </a:schemeClr>
              </a:solidFill>
              <a:ln w="19050">
                <a:noFill/>
              </a:ln>
              <a:effectLst/>
            </c:spPr>
            <c:extLst>
              <c:ext xmlns:c16="http://schemas.microsoft.com/office/drawing/2014/chart" uri="{C3380CC4-5D6E-409C-BE32-E72D297353CC}">
                <c16:uniqueId val="{00000003-8B5E-40FC-943A-34EE19087C68}"/>
              </c:ext>
            </c:extLst>
          </c:dPt>
          <c:dPt>
            <c:idx val="2"/>
            <c:bubble3D val="0"/>
            <c:spPr>
              <a:solidFill>
                <a:schemeClr val="accent4">
                  <a:lumMod val="75000"/>
                </a:schemeClr>
              </a:solidFill>
              <a:ln w="19050">
                <a:noFill/>
              </a:ln>
              <a:effectLst/>
            </c:spPr>
            <c:extLst>
              <c:ext xmlns:c16="http://schemas.microsoft.com/office/drawing/2014/chart" uri="{C3380CC4-5D6E-409C-BE32-E72D297353CC}">
                <c16:uniqueId val="{00000005-8B5E-40FC-943A-34EE19087C68}"/>
              </c:ext>
            </c:extLst>
          </c:dPt>
          <c:cat>
            <c:strRef>
              <c:f>'Product Analysis'!$A$35:$A$37</c:f>
              <c:strCache>
                <c:ptCount val="3"/>
                <c:pt idx="0">
                  <c:v>Dark</c:v>
                </c:pt>
                <c:pt idx="1">
                  <c:v>Light</c:v>
                </c:pt>
                <c:pt idx="2">
                  <c:v>Medium</c:v>
                </c:pt>
              </c:strCache>
            </c:strRef>
          </c:cat>
          <c:val>
            <c:numRef>
              <c:f>'Product Analysis'!$B$35:$B$37</c:f>
              <c:numCache>
                <c:formatCode>General</c:formatCode>
                <c:ptCount val="3"/>
                <c:pt idx="0">
                  <c:v>1156</c:v>
                </c:pt>
                <c:pt idx="1">
                  <c:v>1230</c:v>
                </c:pt>
                <c:pt idx="2">
                  <c:v>1165</c:v>
                </c:pt>
              </c:numCache>
            </c:numRef>
          </c:val>
          <c:extLst>
            <c:ext xmlns:c16="http://schemas.microsoft.com/office/drawing/2014/chart" uri="{C3380CC4-5D6E-409C-BE32-E72D297353CC}">
              <c16:uniqueId val="{00000009-0306-4E6C-B8A1-BC9E0CF7FBC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[coffee_sales_analysis.xlsx]Total Revenue Overtime!Total Sales</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a:solidFill>
                  <a:schemeClr val="tx1"/>
                </a:solidFill>
              </a:rPr>
              <a:t>Total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Revenue Overtime'!$C$3:$C$4</c:f>
              <c:strCache>
                <c:ptCount val="1"/>
                <c:pt idx="0">
                  <c:v>Arabica</c:v>
                </c:pt>
              </c:strCache>
            </c:strRef>
          </c:tx>
          <c:spPr>
            <a:ln w="28575" cap="rnd">
              <a:solidFill>
                <a:srgbClr val="FFFF00"/>
              </a:solidFill>
              <a:round/>
            </a:ln>
            <a:effectLst/>
          </c:spPr>
          <c:marker>
            <c:symbol val="none"/>
          </c:marker>
          <c:cat>
            <c:multiLvlStrRef>
              <c:f>'Total Revenue 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Revenue Overtime'!$C$5:$C$48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4-61FA-4839-9B15-E7611FA99841}"/>
            </c:ext>
          </c:extLst>
        </c:ser>
        <c:ser>
          <c:idx val="1"/>
          <c:order val="1"/>
          <c:tx>
            <c:strRef>
              <c:f>'Total Revenue Overtime'!$D$3:$D$4</c:f>
              <c:strCache>
                <c:ptCount val="1"/>
                <c:pt idx="0">
                  <c:v>Excelsa</c:v>
                </c:pt>
              </c:strCache>
            </c:strRef>
          </c:tx>
          <c:spPr>
            <a:ln w="28575" cap="rnd">
              <a:solidFill>
                <a:srgbClr val="C00000"/>
              </a:solidFill>
              <a:round/>
            </a:ln>
            <a:effectLst/>
          </c:spPr>
          <c:marker>
            <c:symbol val="none"/>
          </c:marker>
          <c:cat>
            <c:multiLvlStrRef>
              <c:f>'Total Revenue 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Revenue Overtime'!$D$5:$D$48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8-61FA-4839-9B15-E7611FA99841}"/>
            </c:ext>
          </c:extLst>
        </c:ser>
        <c:ser>
          <c:idx val="2"/>
          <c:order val="2"/>
          <c:tx>
            <c:strRef>
              <c:f>'Total Revenue Overtime'!$E$3:$E$4</c:f>
              <c:strCache>
                <c:ptCount val="1"/>
                <c:pt idx="0">
                  <c:v>Liberica</c:v>
                </c:pt>
              </c:strCache>
            </c:strRef>
          </c:tx>
          <c:spPr>
            <a:ln w="28575" cap="rnd">
              <a:solidFill>
                <a:schemeClr val="accent5">
                  <a:lumMod val="50000"/>
                </a:schemeClr>
              </a:solidFill>
              <a:round/>
            </a:ln>
            <a:effectLst/>
          </c:spPr>
          <c:marker>
            <c:symbol val="none"/>
          </c:marker>
          <c:cat>
            <c:multiLvlStrRef>
              <c:f>'Total Revenue 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Revenue Overtime'!$E$5:$E$48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9-61FA-4839-9B15-E7611FA99841}"/>
            </c:ext>
          </c:extLst>
        </c:ser>
        <c:ser>
          <c:idx val="3"/>
          <c:order val="3"/>
          <c:tx>
            <c:strRef>
              <c:f>'Total Revenue Overtime'!$F$3:$F$4</c:f>
              <c:strCache>
                <c:ptCount val="1"/>
                <c:pt idx="0">
                  <c:v>Robusta</c:v>
                </c:pt>
              </c:strCache>
            </c:strRef>
          </c:tx>
          <c:spPr>
            <a:ln w="28575" cap="rnd">
              <a:solidFill>
                <a:srgbClr val="00B050"/>
              </a:solidFill>
              <a:round/>
            </a:ln>
            <a:effectLst/>
          </c:spPr>
          <c:marker>
            <c:symbol val="none"/>
          </c:marker>
          <c:cat>
            <c:multiLvlStrRef>
              <c:f>'Total Revenue 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Revenue Overtime'!$F$5:$F$48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A-61FA-4839-9B15-E7611FA99841}"/>
            </c:ext>
          </c:extLst>
        </c:ser>
        <c:dLbls>
          <c:showLegendKey val="0"/>
          <c:showVal val="0"/>
          <c:showCatName val="0"/>
          <c:showSerName val="0"/>
          <c:showPercent val="0"/>
          <c:showBubbleSize val="0"/>
        </c:dLbls>
        <c:smooth val="0"/>
        <c:axId val="1988273536"/>
        <c:axId val="1984856992"/>
      </c:lineChart>
      <c:catAx>
        <c:axId val="1988273536"/>
        <c:scaling>
          <c:orientation val="minMax"/>
        </c:scaling>
        <c:delete val="0"/>
        <c:axPos val="b"/>
        <c:numFmt formatCode="General" sourceLinked="1"/>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4856992"/>
        <c:crosses val="autoZero"/>
        <c:auto val="1"/>
        <c:lblAlgn val="ctr"/>
        <c:lblOffset val="100"/>
        <c:noMultiLvlLbl val="0"/>
      </c:catAx>
      <c:valAx>
        <c:axId val="1984856992"/>
        <c:scaling>
          <c:orientation val="minMax"/>
        </c:scaling>
        <c:delete val="0"/>
        <c:axPos val="l"/>
        <c:majorGridlines>
          <c:spPr>
            <a:ln w="9525" cap="flat" cmpd="sng" algn="ctr">
              <a:solidFill>
                <a:schemeClr val="tx1">
                  <a:lumMod val="65000"/>
                  <a:lumOff val="3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sz="1200" b="1" i="0" baseline="0">
                    <a:solidFill>
                      <a:schemeClr val="tx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8273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[coffee_sales_analysis.xlsx]Revenue by Country!country rev</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alpha val="75000"/>
            </a:schemeClr>
          </a:solidFill>
          <a:ln>
            <a:noFill/>
          </a:ln>
          <a:effectLst/>
        </c:spPr>
      </c:pivotFmt>
      <c:pivotFmt>
        <c:idx val="2"/>
        <c:spPr>
          <a:solidFill>
            <a:schemeClr val="accent1">
              <a:lumMod val="75000"/>
              <a:alpha val="88000"/>
            </a:schemeClr>
          </a:solidFill>
          <a:ln>
            <a:noFill/>
          </a:ln>
          <a:effectLst/>
        </c:spPr>
      </c:pivotFmt>
      <c:pivotFmt>
        <c:idx val="3"/>
        <c:spPr>
          <a:solidFill>
            <a:schemeClr val="accent1">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alpha val="75000"/>
            </a:schemeClr>
          </a:solidFill>
          <a:ln>
            <a:noFill/>
          </a:ln>
          <a:effectLst/>
        </c:spPr>
      </c:pivotFmt>
      <c:pivotFmt>
        <c:idx val="5"/>
        <c:spPr>
          <a:solidFill>
            <a:schemeClr val="accent1">
              <a:lumMod val="75000"/>
              <a:alpha val="88000"/>
            </a:schemeClr>
          </a:solidFill>
          <a:ln>
            <a:noFill/>
          </a:ln>
          <a:effectLst/>
        </c:spPr>
      </c:pivotFmt>
      <c:pivotFmt>
        <c:idx val="6"/>
        <c:spPr>
          <a:solidFill>
            <a:schemeClr val="accent6">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s>
    <c:plotArea>
      <c:layout/>
      <c:barChart>
        <c:barDir val="bar"/>
        <c:grouping val="clustered"/>
        <c:varyColors val="0"/>
        <c:ser>
          <c:idx val="0"/>
          <c:order val="0"/>
          <c:tx>
            <c:strRef>
              <c:f>'Revenue by Country'!$B$3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DB6F-4720-B55F-4103692D2F8C}"/>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DB6F-4720-B55F-4103692D2F8C}"/>
              </c:ext>
            </c:extLst>
          </c:dPt>
          <c:dLbls>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Country'!$A$4:$A$6</c:f>
              <c:strCache>
                <c:ptCount val="3"/>
                <c:pt idx="0">
                  <c:v>United Kingdom</c:v>
                </c:pt>
                <c:pt idx="1">
                  <c:v>Ireland</c:v>
                </c:pt>
                <c:pt idx="2">
                  <c:v>United States</c:v>
                </c:pt>
              </c:strCache>
            </c:strRef>
          </c:cat>
          <c:val>
            <c:numRef>
              <c:f>'Revenue by Country'!$B$4:$B$6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8-D660-45B8-AAD4-6C6F21D1B079}"/>
            </c:ext>
          </c:extLst>
        </c:ser>
        <c:dLbls>
          <c:dLblPos val="outEnd"/>
          <c:showLegendKey val="0"/>
          <c:showVal val="1"/>
          <c:showCatName val="0"/>
          <c:showSerName val="0"/>
          <c:showPercent val="0"/>
          <c:showBubbleSize val="0"/>
        </c:dLbls>
        <c:gapWidth val="182"/>
        <c:axId val="128891120"/>
        <c:axId val="128889680"/>
      </c:barChart>
      <c:catAx>
        <c:axId val="1288911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8889680"/>
        <c:crosses val="autoZero"/>
        <c:auto val="1"/>
        <c:lblAlgn val="ctr"/>
        <c:lblOffset val="100"/>
        <c:noMultiLvlLbl val="0"/>
      </c:catAx>
      <c:valAx>
        <c:axId val="128889680"/>
        <c:scaling>
          <c:orientation val="minMax"/>
        </c:scaling>
        <c:delete val="1"/>
        <c:axPos val="b"/>
        <c:numFmt formatCode="\$0" sourceLinked="1"/>
        <c:majorTickMark val="none"/>
        <c:minorTickMark val="none"/>
        <c:tickLblPos val="nextTo"/>
        <c:crossAx val="128891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[coffee_sales_analysis.xlsx]Top Customers!customer 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Customers'!$B$14</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Customers'!$A$15:$A$19</c:f>
              <c:strCache>
                <c:ptCount val="5"/>
                <c:pt idx="0">
                  <c:v>Allis Wilmore</c:v>
                </c:pt>
                <c:pt idx="1">
                  <c:v>Brenn Dundredge</c:v>
                </c:pt>
                <c:pt idx="2">
                  <c:v>Terri Farra</c:v>
                </c:pt>
                <c:pt idx="3">
                  <c:v>Nealson Cuttler</c:v>
                </c:pt>
                <c:pt idx="4">
                  <c:v>Don Flintiff</c:v>
                </c:pt>
              </c:strCache>
            </c:strRef>
          </c:cat>
          <c:val>
            <c:numRef>
              <c:f>'Top Customers'!$B$15:$B$19</c:f>
              <c:numCache>
                <c:formatCode>_-[$$-409]* #,##0.00_ ;_-[$$-409]* \-#,##0.00\ ;_-[$$-409]* "-"??_ ;_-@_ </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4-E608-449A-B2C3-497AE61A78AA}"/>
            </c:ext>
          </c:extLst>
        </c:ser>
        <c:dLbls>
          <c:dLblPos val="outEnd"/>
          <c:showLegendKey val="0"/>
          <c:showVal val="1"/>
          <c:showCatName val="0"/>
          <c:showSerName val="0"/>
          <c:showPercent val="0"/>
          <c:showBubbleSize val="0"/>
        </c:dLbls>
        <c:gapWidth val="219"/>
        <c:overlap val="-27"/>
        <c:axId val="168136079"/>
        <c:axId val="168152399"/>
      </c:barChart>
      <c:catAx>
        <c:axId val="16813607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68152399"/>
        <c:crosses val="autoZero"/>
        <c:auto val="1"/>
        <c:lblAlgn val="ctr"/>
        <c:lblOffset val="100"/>
        <c:noMultiLvlLbl val="0"/>
      </c:catAx>
      <c:valAx>
        <c:axId val="168152399"/>
        <c:scaling>
          <c:orientation val="minMax"/>
        </c:scaling>
        <c:delete val="1"/>
        <c:axPos val="l"/>
        <c:numFmt formatCode="_-[$$-409]* #,##0.00_ ;_-[$$-409]* \-#,##0.00\ ;_-[$$-409]* &quot;-&quot;??_ ;_-@_ " sourceLinked="1"/>
        <c:majorTickMark val="out"/>
        <c:minorTickMark val="none"/>
        <c:tickLblPos val="nextTo"/>
        <c:crossAx val="16813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[coffee_sales_analysis.xlsx]Product Analysis!roast type quant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Quantity Sold</a:t>
            </a:r>
            <a:r>
              <a:rPr lang="en-US" sz="2000" b="1" baseline="0">
                <a:solidFill>
                  <a:schemeClr val="tx1"/>
                </a:solidFill>
              </a:rPr>
              <a:t> by Roast Type</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noFill/>
          </a:ln>
          <a:effectLst/>
        </c:spPr>
      </c:pivotFmt>
      <c:pivotFmt>
        <c:idx val="2"/>
        <c:spPr>
          <a:solidFill>
            <a:schemeClr val="accent2">
              <a:lumMod val="20000"/>
              <a:lumOff val="80000"/>
            </a:schemeClr>
          </a:solidFill>
          <a:ln w="19050">
            <a:noFill/>
          </a:ln>
          <a:effectLst/>
        </c:spPr>
      </c:pivotFmt>
      <c:pivotFmt>
        <c:idx val="3"/>
        <c:spPr>
          <a:solidFill>
            <a:schemeClr val="accent4">
              <a:lumMod val="75000"/>
            </a:schemeClr>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w="19050">
            <a:noFill/>
          </a:ln>
          <a:effectLst/>
        </c:spPr>
      </c:pivotFmt>
      <c:pivotFmt>
        <c:idx val="6"/>
        <c:spPr>
          <a:solidFill>
            <a:schemeClr val="accent2">
              <a:lumMod val="20000"/>
              <a:lumOff val="80000"/>
            </a:schemeClr>
          </a:solidFill>
          <a:ln w="19050">
            <a:noFill/>
          </a:ln>
          <a:effectLst/>
        </c:spPr>
      </c:pivotFmt>
      <c:pivotFmt>
        <c:idx val="7"/>
        <c:spPr>
          <a:solidFill>
            <a:schemeClr val="accent4">
              <a:lumMod val="75000"/>
            </a:schemeClr>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50000"/>
            </a:schemeClr>
          </a:solidFill>
          <a:ln w="19050">
            <a:noFill/>
          </a:ln>
          <a:effectLst/>
        </c:spPr>
      </c:pivotFmt>
      <c:pivotFmt>
        <c:idx val="10"/>
        <c:spPr>
          <a:solidFill>
            <a:schemeClr val="accent2">
              <a:lumMod val="20000"/>
              <a:lumOff val="80000"/>
            </a:schemeClr>
          </a:solidFill>
          <a:ln w="19050">
            <a:noFill/>
          </a:ln>
          <a:effectLst/>
        </c:spPr>
      </c:pivotFmt>
      <c:pivotFmt>
        <c:idx val="11"/>
        <c:spPr>
          <a:solidFill>
            <a:schemeClr val="accent4">
              <a:lumMod val="75000"/>
            </a:schemeClr>
          </a:solidFill>
          <a:ln w="19050">
            <a:noFill/>
          </a:ln>
          <a:effectLst/>
        </c:spPr>
      </c:pivotFmt>
    </c:pivotFmts>
    <c:plotArea>
      <c:layout/>
      <c:doughnutChart>
        <c:varyColors val="1"/>
        <c:ser>
          <c:idx val="0"/>
          <c:order val="0"/>
          <c:tx>
            <c:strRef>
              <c:f>'Product Analysis'!$B$34</c:f>
              <c:strCache>
                <c:ptCount val="1"/>
                <c:pt idx="0">
                  <c:v>Total</c:v>
                </c:pt>
              </c:strCache>
            </c:strRef>
          </c:tx>
          <c:spPr>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1-7355-4442-8235-0E32FF7A93CE}"/>
              </c:ext>
            </c:extLst>
          </c:dPt>
          <c:dPt>
            <c:idx val="1"/>
            <c:bubble3D val="0"/>
            <c:spPr>
              <a:solidFill>
                <a:schemeClr val="accent2">
                  <a:lumMod val="20000"/>
                  <a:lumOff val="80000"/>
                </a:schemeClr>
              </a:solidFill>
              <a:ln w="19050">
                <a:noFill/>
              </a:ln>
              <a:effectLst/>
            </c:spPr>
            <c:extLst>
              <c:ext xmlns:c16="http://schemas.microsoft.com/office/drawing/2014/chart" uri="{C3380CC4-5D6E-409C-BE32-E72D297353CC}">
                <c16:uniqueId val="{00000003-7355-4442-8235-0E32FF7A93CE}"/>
              </c:ext>
            </c:extLst>
          </c:dPt>
          <c:dPt>
            <c:idx val="2"/>
            <c:bubble3D val="0"/>
            <c:spPr>
              <a:solidFill>
                <a:schemeClr val="accent4">
                  <a:lumMod val="75000"/>
                </a:schemeClr>
              </a:solidFill>
              <a:ln w="19050">
                <a:noFill/>
              </a:ln>
              <a:effectLst/>
            </c:spPr>
            <c:extLst>
              <c:ext xmlns:c16="http://schemas.microsoft.com/office/drawing/2014/chart" uri="{C3380CC4-5D6E-409C-BE32-E72D297353CC}">
                <c16:uniqueId val="{00000005-7355-4442-8235-0E32FF7A93CE}"/>
              </c:ext>
            </c:extLst>
          </c:dPt>
          <c:cat>
            <c:strRef>
              <c:f>'Product Analysis'!$A$35:$A$37</c:f>
              <c:strCache>
                <c:ptCount val="3"/>
                <c:pt idx="0">
                  <c:v>Dark</c:v>
                </c:pt>
                <c:pt idx="1">
                  <c:v>Light</c:v>
                </c:pt>
                <c:pt idx="2">
                  <c:v>Medium</c:v>
                </c:pt>
              </c:strCache>
            </c:strRef>
          </c:cat>
          <c:val>
            <c:numRef>
              <c:f>'Product Analysis'!$B$35:$B$37</c:f>
              <c:numCache>
                <c:formatCode>General</c:formatCode>
                <c:ptCount val="3"/>
                <c:pt idx="0">
                  <c:v>1156</c:v>
                </c:pt>
                <c:pt idx="1">
                  <c:v>1230</c:v>
                </c:pt>
                <c:pt idx="2">
                  <c:v>1165</c:v>
                </c:pt>
              </c:numCache>
            </c:numRef>
          </c:val>
          <c:extLst>
            <c:ext xmlns:c16="http://schemas.microsoft.com/office/drawing/2014/chart" uri="{C3380CC4-5D6E-409C-BE32-E72D297353CC}">
              <c16:uniqueId val="{0000000A-62BA-425D-AD25-F7EF68538F5A}"/>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[coffee_sales_analysis.xlsx]Product Analysis!prod rev and quant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Revenue</a:t>
            </a:r>
            <a:r>
              <a:rPr lang="en-IN" sz="2000" b="1" baseline="0">
                <a:solidFill>
                  <a:schemeClr val="tx1"/>
                </a:solidFill>
              </a:rPr>
              <a:t> and Quantity Sold by Coffee Type</a:t>
            </a:r>
            <a:endParaRPr lang="en-IN"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Analysis'!$B$4</c:f>
              <c:strCache>
                <c:ptCount val="1"/>
                <c:pt idx="0">
                  <c:v>Revenue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Analysis'!$A$5:$A$8</c:f>
              <c:strCache>
                <c:ptCount val="4"/>
                <c:pt idx="0">
                  <c:v>Excelsa</c:v>
                </c:pt>
                <c:pt idx="1">
                  <c:v>Liberica</c:v>
                </c:pt>
                <c:pt idx="2">
                  <c:v>Arabica</c:v>
                </c:pt>
                <c:pt idx="3">
                  <c:v>Robusta</c:v>
                </c:pt>
              </c:strCache>
            </c:strRef>
          </c:cat>
          <c:val>
            <c:numRef>
              <c:f>'Product Analysis'!$B$5:$B$8</c:f>
              <c:numCache>
                <c:formatCode>_-[$$-409]* #,##0.00_ ;_-[$$-409]* \-#,##0.00\ ;_-[$$-409]* "-"??_ ;_-@_ </c:formatCode>
                <c:ptCount val="4"/>
                <c:pt idx="0">
                  <c:v>12306.439999999995</c:v>
                </c:pt>
                <c:pt idx="1">
                  <c:v>12054.074999999995</c:v>
                </c:pt>
                <c:pt idx="2">
                  <c:v>11768.494999999997</c:v>
                </c:pt>
                <c:pt idx="3">
                  <c:v>9005.2450000000099</c:v>
                </c:pt>
              </c:numCache>
            </c:numRef>
          </c:val>
          <c:extLst>
            <c:ext xmlns:c16="http://schemas.microsoft.com/office/drawing/2014/chart" uri="{C3380CC4-5D6E-409C-BE32-E72D297353CC}">
              <c16:uniqueId val="{00000007-2A27-4074-8B7E-D8E8A983347C}"/>
            </c:ext>
          </c:extLst>
        </c:ser>
        <c:ser>
          <c:idx val="1"/>
          <c:order val="1"/>
          <c:tx>
            <c:strRef>
              <c:f>'Product Analysis'!$C$4</c:f>
              <c:strCache>
                <c:ptCount val="1"/>
                <c:pt idx="0">
                  <c:v>Sum of Quantity</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Analysis'!$A$5:$A$8</c:f>
              <c:strCache>
                <c:ptCount val="4"/>
                <c:pt idx="0">
                  <c:v>Excelsa</c:v>
                </c:pt>
                <c:pt idx="1">
                  <c:v>Liberica</c:v>
                </c:pt>
                <c:pt idx="2">
                  <c:v>Arabica</c:v>
                </c:pt>
                <c:pt idx="3">
                  <c:v>Robusta</c:v>
                </c:pt>
              </c:strCache>
            </c:strRef>
          </c:cat>
          <c:val>
            <c:numRef>
              <c:f>'Product Analysis'!$C$5:$C$8</c:f>
              <c:numCache>
                <c:formatCode>General</c:formatCode>
                <c:ptCount val="4"/>
                <c:pt idx="0">
                  <c:v>872</c:v>
                </c:pt>
                <c:pt idx="1">
                  <c:v>854</c:v>
                </c:pt>
                <c:pt idx="2">
                  <c:v>947</c:v>
                </c:pt>
                <c:pt idx="3">
                  <c:v>878</c:v>
                </c:pt>
              </c:numCache>
            </c:numRef>
          </c:val>
          <c:extLst>
            <c:ext xmlns:c16="http://schemas.microsoft.com/office/drawing/2014/chart" uri="{C3380CC4-5D6E-409C-BE32-E72D297353CC}">
              <c16:uniqueId val="{00000008-2A27-4074-8B7E-D8E8A983347C}"/>
            </c:ext>
          </c:extLst>
        </c:ser>
        <c:dLbls>
          <c:dLblPos val="outEnd"/>
          <c:showLegendKey val="0"/>
          <c:showVal val="1"/>
          <c:showCatName val="0"/>
          <c:showSerName val="0"/>
          <c:showPercent val="0"/>
          <c:showBubbleSize val="0"/>
        </c:dLbls>
        <c:gapWidth val="219"/>
        <c:overlap val="-27"/>
        <c:axId val="1248780320"/>
        <c:axId val="1248785120"/>
      </c:barChart>
      <c:catAx>
        <c:axId val="12487803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48785120"/>
        <c:crosses val="autoZero"/>
        <c:auto val="1"/>
        <c:lblAlgn val="ctr"/>
        <c:lblOffset val="100"/>
        <c:noMultiLvlLbl val="0"/>
      </c:catAx>
      <c:valAx>
        <c:axId val="1248785120"/>
        <c:scaling>
          <c:orientation val="minMax"/>
        </c:scaling>
        <c:delete val="1"/>
        <c:axPos val="l"/>
        <c:numFmt formatCode="_-[$$-409]* #,##0.00_ ;_-[$$-409]* \-#,##0.00\ ;_-[$$-409]* &quot;-&quot;??_ ;_-@_ " sourceLinked="1"/>
        <c:majorTickMark val="none"/>
        <c:minorTickMark val="none"/>
        <c:tickLblPos val="nextTo"/>
        <c:crossAx val="1248780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8</xdr:col>
      <xdr:colOff>142873</xdr:colOff>
      <xdr:row>8</xdr:row>
      <xdr:rowOff>142875</xdr:rowOff>
    </xdr:from>
    <xdr:to>
      <xdr:col>24</xdr:col>
      <xdr:colOff>285750</xdr:colOff>
      <xdr:row>44</xdr:row>
      <xdr:rowOff>142875</xdr:rowOff>
    </xdr:to>
    <xdr:graphicFrame macro="">
      <xdr:nvGraphicFramePr>
        <xdr:cNvPr id="2" name="Chart 1">
          <a:extLst>
            <a:ext uri="{FF2B5EF4-FFF2-40B4-BE49-F238E27FC236}">
              <a16:creationId xmlns:a16="http://schemas.microsoft.com/office/drawing/2014/main" id="{4D32448C-C5DF-1ED0-7FCC-CE846EB0D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190501</xdr:colOff>
      <xdr:row>0</xdr:row>
      <xdr:rowOff>180974</xdr:rowOff>
    </xdr:from>
    <xdr:to>
      <xdr:col>24</xdr:col>
      <xdr:colOff>304800</xdr:colOff>
      <xdr:row>7</xdr:row>
      <xdr:rowOff>152399</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E75343C3-9E56-36A4-5FE1-13D614F4EB0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105651" y="180974"/>
              <a:ext cx="12792074" cy="1304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333375</xdr:colOff>
      <xdr:row>15</xdr:row>
      <xdr:rowOff>19050</xdr:rowOff>
    </xdr:from>
    <xdr:to>
      <xdr:col>27</xdr:col>
      <xdr:colOff>333375</xdr:colOff>
      <xdr:row>22</xdr:row>
      <xdr:rowOff>152400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FC8A5FCB-1FD7-2FEA-A975-94A67B9FDA0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7002125" y="2876550"/>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342900</xdr:colOff>
      <xdr:row>0</xdr:row>
      <xdr:rowOff>180975</xdr:rowOff>
    </xdr:from>
    <xdr:to>
      <xdr:col>27</xdr:col>
      <xdr:colOff>342900</xdr:colOff>
      <xdr:row>8</xdr:row>
      <xdr:rowOff>114300</xdr:rowOff>
    </xdr:to>
    <mc:AlternateContent xmlns:mc="http://schemas.openxmlformats.org/markup-compatibility/2006" xmlns:a14="http://schemas.microsoft.com/office/drawing/2010/main">
      <mc:Choice Requires="a14">
        <xdr:graphicFrame macro="">
          <xdr:nvGraphicFramePr>
            <xdr:cNvPr id="5" name="Coffee Type Name">
              <a:extLst>
                <a:ext uri="{FF2B5EF4-FFF2-40B4-BE49-F238E27FC236}">
                  <a16:creationId xmlns:a16="http://schemas.microsoft.com/office/drawing/2014/main" id="{1019A435-B86A-AEFB-4FF6-8A9B27CD95B3}"/>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mlns="">
        <xdr:sp macro="" textlink="">
          <xdr:nvSpPr>
            <xdr:cNvPr id="0" name=""/>
            <xdr:cNvSpPr>
              <a:spLocks noTextEdit="1"/>
            </xdr:cNvSpPr>
          </xdr:nvSpPr>
          <xdr:spPr>
            <a:xfrm>
              <a:off x="17011650" y="180975"/>
              <a:ext cx="1828800"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371475</xdr:colOff>
      <xdr:row>8</xdr:row>
      <xdr:rowOff>152401</xdr:rowOff>
    </xdr:from>
    <xdr:to>
      <xdr:col>27</xdr:col>
      <xdr:colOff>371475</xdr:colOff>
      <xdr:row>14</xdr:row>
      <xdr:rowOff>171451</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3626792F-A65D-63B8-7740-0A154332265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7040225" y="1676401"/>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381000</xdr:colOff>
      <xdr:row>23</xdr:row>
      <xdr:rowOff>1</xdr:rowOff>
    </xdr:from>
    <xdr:to>
      <xdr:col>27</xdr:col>
      <xdr:colOff>381000</xdr:colOff>
      <xdr:row>29</xdr:row>
      <xdr:rowOff>1</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2D9BAAD2-8061-E90C-3B30-D3969CC06D8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7049750" y="438150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47625</xdr:colOff>
      <xdr:row>47</xdr:row>
      <xdr:rowOff>180976</xdr:rowOff>
    </xdr:from>
    <xdr:to>
      <xdr:col>24</xdr:col>
      <xdr:colOff>295275</xdr:colOff>
      <xdr:row>69</xdr:row>
      <xdr:rowOff>47626</xdr:rowOff>
    </xdr:to>
    <xdr:graphicFrame macro="">
      <xdr:nvGraphicFramePr>
        <xdr:cNvPr id="8" name="Chart 7">
          <a:extLst>
            <a:ext uri="{FF2B5EF4-FFF2-40B4-BE49-F238E27FC236}">
              <a16:creationId xmlns:a16="http://schemas.microsoft.com/office/drawing/2014/main" id="{91BC5CC7-51AA-29FD-0B31-C4C8A1384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371475</xdr:colOff>
      <xdr:row>75</xdr:row>
      <xdr:rowOff>114300</xdr:rowOff>
    </xdr:from>
    <xdr:to>
      <xdr:col>24</xdr:col>
      <xdr:colOff>485775</xdr:colOff>
      <xdr:row>103</xdr:row>
      <xdr:rowOff>9525</xdr:rowOff>
    </xdr:to>
    <xdr:graphicFrame macro="">
      <xdr:nvGraphicFramePr>
        <xdr:cNvPr id="10" name="Chart 9">
          <a:extLst>
            <a:ext uri="{FF2B5EF4-FFF2-40B4-BE49-F238E27FC236}">
              <a16:creationId xmlns:a16="http://schemas.microsoft.com/office/drawing/2014/main" id="{05830E43-7E0A-F823-F655-8B2E8B7E6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409574</xdr:colOff>
      <xdr:row>2</xdr:row>
      <xdr:rowOff>166686</xdr:rowOff>
    </xdr:from>
    <xdr:to>
      <xdr:col>22</xdr:col>
      <xdr:colOff>333375</xdr:colOff>
      <xdr:row>24</xdr:row>
      <xdr:rowOff>133350</xdr:rowOff>
    </xdr:to>
    <xdr:graphicFrame macro="">
      <xdr:nvGraphicFramePr>
        <xdr:cNvPr id="8" name="Chart 7">
          <a:extLst>
            <a:ext uri="{FF2B5EF4-FFF2-40B4-BE49-F238E27FC236}">
              <a16:creationId xmlns:a16="http://schemas.microsoft.com/office/drawing/2014/main" id="{60B18E06-1015-FB5A-ACC9-45F035EF0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161925</xdr:colOff>
      <xdr:row>11</xdr:row>
      <xdr:rowOff>114300</xdr:rowOff>
    </xdr:from>
    <xdr:to>
      <xdr:col>18</xdr:col>
      <xdr:colOff>423862</xdr:colOff>
      <xdr:row>29</xdr:row>
      <xdr:rowOff>119062</xdr:rowOff>
    </xdr:to>
    <xdr:graphicFrame macro="">
      <xdr:nvGraphicFramePr>
        <xdr:cNvPr id="3" name="Chart 2">
          <a:extLst>
            <a:ext uri="{FF2B5EF4-FFF2-40B4-BE49-F238E27FC236}">
              <a16:creationId xmlns:a16="http://schemas.microsoft.com/office/drawing/2014/main" id="{3EF1FD6B-9BE6-CB59-281F-0C00AB1E5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533400</xdr:colOff>
      <xdr:row>0</xdr:row>
      <xdr:rowOff>157161</xdr:rowOff>
    </xdr:from>
    <xdr:to>
      <xdr:col>22</xdr:col>
      <xdr:colOff>247650</xdr:colOff>
      <xdr:row>19</xdr:row>
      <xdr:rowOff>28574</xdr:rowOff>
    </xdr:to>
    <xdr:graphicFrame macro="">
      <xdr:nvGraphicFramePr>
        <xdr:cNvPr id="3" name="Chart 2">
          <a:extLst>
            <a:ext uri="{FF2B5EF4-FFF2-40B4-BE49-F238E27FC236}">
              <a16:creationId xmlns:a16="http://schemas.microsoft.com/office/drawing/2014/main" id="{E90B10CD-A792-DB9A-4EE4-9F800D7D9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300037</xdr:colOff>
      <xdr:row>32</xdr:row>
      <xdr:rowOff>23812</xdr:rowOff>
    </xdr:from>
    <xdr:to>
      <xdr:col>10</xdr:col>
      <xdr:colOff>404812</xdr:colOff>
      <xdr:row>46</xdr:row>
      <xdr:rowOff>100012</xdr:rowOff>
    </xdr:to>
    <xdr:graphicFrame macro="">
      <xdr:nvGraphicFramePr>
        <xdr:cNvPr id="4" name="Chart 3">
          <a:extLst>
            <a:ext uri="{FF2B5EF4-FFF2-40B4-BE49-F238E27FC236}">
              <a16:creationId xmlns:a16="http://schemas.microsoft.com/office/drawing/2014/main" id="{1EECEAD2-5643-725E-FBCF-E8E68F1AC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209549</xdr:colOff>
      <xdr:row>5</xdr:row>
      <xdr:rowOff>28575</xdr:rowOff>
    </xdr:from>
    <xdr:to>
      <xdr:col>32</xdr:col>
      <xdr:colOff>219074</xdr:colOff>
      <xdr:row>58</xdr:row>
      <xdr:rowOff>104775</xdr:rowOff>
    </xdr:to>
    <xdr:sp macro="" textlink="">
      <xdr:nvSpPr>
        <xdr:cNvPr id="3" name="Rectangle: Rounded Corners 2">
          <a:extLst>
            <a:ext uri="{FF2B5EF4-FFF2-40B4-BE49-F238E27FC236}">
              <a16:creationId xmlns:a16="http://schemas.microsoft.com/office/drawing/2014/main" id="{08FCCB44-D464-CDB4-23BC-21170661C956}"/>
            </a:ext>
          </a:extLst>
        </xdr:cNvPr>
        <xdr:cNvSpPr/>
      </xdr:nvSpPr>
      <xdr:spPr>
        <a:xfrm>
          <a:off x="2647949" y="981075"/>
          <a:ext cx="17078325" cy="10172700"/>
        </a:xfrm>
        <a:prstGeom prst="roundRect">
          <a:avLst>
            <a:gd name="adj" fmla="val 2212"/>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419100</xdr:colOff>
      <xdr:row>6</xdr:row>
      <xdr:rowOff>123825</xdr:rowOff>
    </xdr:from>
    <xdr:to>
      <xdr:col>22</xdr:col>
      <xdr:colOff>19050</xdr:colOff>
      <xdr:row>11</xdr:row>
      <xdr:rowOff>76200</xdr:rowOff>
    </xdr:to>
    <xdr:sp macro="" textlink="">
      <xdr:nvSpPr>
        <xdr:cNvPr id="10" name="Rectangle: Rounded Corners 9">
          <a:extLst>
            <a:ext uri="{FF2B5EF4-FFF2-40B4-BE49-F238E27FC236}">
              <a16:creationId xmlns:a16="http://schemas.microsoft.com/office/drawing/2014/main" id="{E933DC6A-F9FE-93EC-6DC1-F098E1FA5199}"/>
            </a:ext>
          </a:extLst>
        </xdr:cNvPr>
        <xdr:cNvSpPr/>
      </xdr:nvSpPr>
      <xdr:spPr>
        <a:xfrm>
          <a:off x="10782300" y="1266825"/>
          <a:ext cx="2647950" cy="904875"/>
        </a:xfrm>
        <a:prstGeom prst="roundRect">
          <a:avLst>
            <a:gd name="adj" fmla="val 8246"/>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195262</xdr:colOff>
      <xdr:row>6</xdr:row>
      <xdr:rowOff>114300</xdr:rowOff>
    </xdr:from>
    <xdr:to>
      <xdr:col>26</xdr:col>
      <xdr:colOff>404812</xdr:colOff>
      <xdr:row>11</xdr:row>
      <xdr:rowOff>66675</xdr:rowOff>
    </xdr:to>
    <xdr:sp macro="" textlink="">
      <xdr:nvSpPr>
        <xdr:cNvPr id="11" name="Rectangle: Rounded Corners 10">
          <a:extLst>
            <a:ext uri="{FF2B5EF4-FFF2-40B4-BE49-F238E27FC236}">
              <a16:creationId xmlns:a16="http://schemas.microsoft.com/office/drawing/2014/main" id="{92799A9F-2FB1-4691-8293-46305F9C4F0C}"/>
            </a:ext>
          </a:extLst>
        </xdr:cNvPr>
        <xdr:cNvSpPr/>
      </xdr:nvSpPr>
      <xdr:spPr>
        <a:xfrm>
          <a:off x="13606462" y="1257300"/>
          <a:ext cx="2647950" cy="904875"/>
        </a:xfrm>
        <a:prstGeom prst="roundRect">
          <a:avLst>
            <a:gd name="adj" fmla="val 8246"/>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581024</xdr:colOff>
      <xdr:row>6</xdr:row>
      <xdr:rowOff>119063</xdr:rowOff>
    </xdr:from>
    <xdr:to>
      <xdr:col>31</xdr:col>
      <xdr:colOff>180974</xdr:colOff>
      <xdr:row>11</xdr:row>
      <xdr:rowOff>71438</xdr:rowOff>
    </xdr:to>
    <xdr:sp macro="" textlink="">
      <xdr:nvSpPr>
        <xdr:cNvPr id="12" name="Rectangle: Rounded Corners 11">
          <a:extLst>
            <a:ext uri="{FF2B5EF4-FFF2-40B4-BE49-F238E27FC236}">
              <a16:creationId xmlns:a16="http://schemas.microsoft.com/office/drawing/2014/main" id="{BA479048-34AD-4E60-AFBB-25EEBC88F2DD}"/>
            </a:ext>
          </a:extLst>
        </xdr:cNvPr>
        <xdr:cNvSpPr/>
      </xdr:nvSpPr>
      <xdr:spPr>
        <a:xfrm>
          <a:off x="16430624" y="1262063"/>
          <a:ext cx="2647950" cy="904875"/>
        </a:xfrm>
        <a:prstGeom prst="roundRect">
          <a:avLst>
            <a:gd name="adj" fmla="val 8246"/>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514350</xdr:colOff>
      <xdr:row>6</xdr:row>
      <xdr:rowOff>157163</xdr:rowOff>
    </xdr:from>
    <xdr:to>
      <xdr:col>21</xdr:col>
      <xdr:colOff>533400</xdr:colOff>
      <xdr:row>9</xdr:row>
      <xdr:rowOff>14288</xdr:rowOff>
    </xdr:to>
    <xdr:sp macro="" textlink="">
      <xdr:nvSpPr>
        <xdr:cNvPr id="13" name="TextBox 12">
          <a:extLst>
            <a:ext uri="{FF2B5EF4-FFF2-40B4-BE49-F238E27FC236}">
              <a16:creationId xmlns:a16="http://schemas.microsoft.com/office/drawing/2014/main" id="{0384D3E1-6140-D37F-12AA-68CE5378A646}"/>
            </a:ext>
          </a:extLst>
        </xdr:cNvPr>
        <xdr:cNvSpPr txBox="1"/>
      </xdr:nvSpPr>
      <xdr:spPr>
        <a:xfrm>
          <a:off x="10877550" y="1300163"/>
          <a:ext cx="24574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0">
              <a:solidFill>
                <a:schemeClr val="tx1"/>
              </a:solidFill>
            </a:rPr>
            <a:t>Total Revenue</a:t>
          </a:r>
        </a:p>
      </xdr:txBody>
    </xdr:sp>
    <xdr:clientData/>
  </xdr:twoCellAnchor>
  <xdr:twoCellAnchor>
    <xdr:from>
      <xdr:col>22</xdr:col>
      <xdr:colOff>290512</xdr:colOff>
      <xdr:row>6</xdr:row>
      <xdr:rowOff>157163</xdr:rowOff>
    </xdr:from>
    <xdr:to>
      <xdr:col>26</xdr:col>
      <xdr:colOff>309562</xdr:colOff>
      <xdr:row>9</xdr:row>
      <xdr:rowOff>14288</xdr:rowOff>
    </xdr:to>
    <xdr:sp macro="" textlink="">
      <xdr:nvSpPr>
        <xdr:cNvPr id="15" name="TextBox 14">
          <a:extLst>
            <a:ext uri="{FF2B5EF4-FFF2-40B4-BE49-F238E27FC236}">
              <a16:creationId xmlns:a16="http://schemas.microsoft.com/office/drawing/2014/main" id="{F29E0DA3-7469-4C5D-834A-A430592EF226}"/>
            </a:ext>
          </a:extLst>
        </xdr:cNvPr>
        <xdr:cNvSpPr txBox="1"/>
      </xdr:nvSpPr>
      <xdr:spPr>
        <a:xfrm>
          <a:off x="13701712" y="1300163"/>
          <a:ext cx="24574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0"/>
            <a:t>Quantity Sold</a:t>
          </a:r>
        </a:p>
      </xdr:txBody>
    </xdr:sp>
    <xdr:clientData/>
  </xdr:twoCellAnchor>
  <xdr:twoCellAnchor>
    <xdr:from>
      <xdr:col>27</xdr:col>
      <xdr:colOff>66674</xdr:colOff>
      <xdr:row>6</xdr:row>
      <xdr:rowOff>157163</xdr:rowOff>
    </xdr:from>
    <xdr:to>
      <xdr:col>31</xdr:col>
      <xdr:colOff>85724</xdr:colOff>
      <xdr:row>9</xdr:row>
      <xdr:rowOff>14288</xdr:rowOff>
    </xdr:to>
    <xdr:sp macro="" textlink="">
      <xdr:nvSpPr>
        <xdr:cNvPr id="16" name="TextBox 15">
          <a:extLst>
            <a:ext uri="{FF2B5EF4-FFF2-40B4-BE49-F238E27FC236}">
              <a16:creationId xmlns:a16="http://schemas.microsoft.com/office/drawing/2014/main" id="{3C349445-EA80-4C42-AE5E-067B4A06CB07}"/>
            </a:ext>
          </a:extLst>
        </xdr:cNvPr>
        <xdr:cNvSpPr txBox="1"/>
      </xdr:nvSpPr>
      <xdr:spPr>
        <a:xfrm>
          <a:off x="16525874" y="1300163"/>
          <a:ext cx="24574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0"/>
            <a:t>Total Orders</a:t>
          </a:r>
        </a:p>
      </xdr:txBody>
    </xdr:sp>
    <xdr:clientData/>
  </xdr:twoCellAnchor>
  <xdr:twoCellAnchor>
    <xdr:from>
      <xdr:col>17</xdr:col>
      <xdr:colOff>514350</xdr:colOff>
      <xdr:row>8</xdr:row>
      <xdr:rowOff>185738</xdr:rowOff>
    </xdr:from>
    <xdr:to>
      <xdr:col>21</xdr:col>
      <xdr:colOff>533400</xdr:colOff>
      <xdr:row>11</xdr:row>
      <xdr:rowOff>42863</xdr:rowOff>
    </xdr:to>
    <xdr:sp macro="" textlink="KPI!C9">
      <xdr:nvSpPr>
        <xdr:cNvPr id="17" name="TextBox 16">
          <a:extLst>
            <a:ext uri="{FF2B5EF4-FFF2-40B4-BE49-F238E27FC236}">
              <a16:creationId xmlns:a16="http://schemas.microsoft.com/office/drawing/2014/main" id="{E36448FD-9C0B-4E72-BEEF-0EE4CDAAD4EC}"/>
            </a:ext>
          </a:extLst>
        </xdr:cNvPr>
        <xdr:cNvSpPr txBox="1"/>
      </xdr:nvSpPr>
      <xdr:spPr>
        <a:xfrm>
          <a:off x="10877550" y="1709738"/>
          <a:ext cx="24574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CC7306-59B8-46AC-A527-5A1267341997}" type="TxLink">
            <a:rPr lang="en-US" sz="2400" b="1" i="0" u="none" strike="noStrike">
              <a:solidFill>
                <a:srgbClr val="000000"/>
              </a:solidFill>
              <a:latin typeface="Calibri"/>
              <a:cs typeface="Calibri"/>
            </a:rPr>
            <a:pPr algn="ctr"/>
            <a:t>$45,134</a:t>
          </a:fld>
          <a:endParaRPr lang="en-IN" sz="2400" b="1"/>
        </a:p>
      </xdr:txBody>
    </xdr:sp>
    <xdr:clientData/>
  </xdr:twoCellAnchor>
  <xdr:twoCellAnchor>
    <xdr:from>
      <xdr:col>22</xdr:col>
      <xdr:colOff>290512</xdr:colOff>
      <xdr:row>8</xdr:row>
      <xdr:rowOff>166688</xdr:rowOff>
    </xdr:from>
    <xdr:to>
      <xdr:col>26</xdr:col>
      <xdr:colOff>309562</xdr:colOff>
      <xdr:row>11</xdr:row>
      <xdr:rowOff>23813</xdr:rowOff>
    </xdr:to>
    <xdr:sp macro="" textlink="KPI!C4">
      <xdr:nvSpPr>
        <xdr:cNvPr id="18" name="TextBox 17">
          <a:extLst>
            <a:ext uri="{FF2B5EF4-FFF2-40B4-BE49-F238E27FC236}">
              <a16:creationId xmlns:a16="http://schemas.microsoft.com/office/drawing/2014/main" id="{F2D33917-E5D8-4546-A070-77E8B5A5775D}"/>
            </a:ext>
          </a:extLst>
        </xdr:cNvPr>
        <xdr:cNvSpPr txBox="1"/>
      </xdr:nvSpPr>
      <xdr:spPr>
        <a:xfrm>
          <a:off x="13701712" y="1690688"/>
          <a:ext cx="24574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6A2707-7D26-48CF-B562-4DE17D06BD70}" type="TxLink">
            <a:rPr lang="en-US" sz="2400" b="1" i="0" u="none" strike="noStrike">
              <a:solidFill>
                <a:srgbClr val="000000"/>
              </a:solidFill>
              <a:latin typeface="Calibri"/>
              <a:cs typeface="Calibri"/>
            </a:rPr>
            <a:pPr algn="ctr"/>
            <a:t>3,551</a:t>
          </a:fld>
          <a:endParaRPr lang="en-US" sz="2400" b="1" i="0" u="none" strike="noStrike">
            <a:solidFill>
              <a:srgbClr val="000000"/>
            </a:solidFill>
            <a:latin typeface="Calibri"/>
            <a:cs typeface="Calibri"/>
          </a:endParaRPr>
        </a:p>
      </xdr:txBody>
    </xdr:sp>
    <xdr:clientData/>
  </xdr:twoCellAnchor>
  <xdr:twoCellAnchor>
    <xdr:from>
      <xdr:col>27</xdr:col>
      <xdr:colOff>66674</xdr:colOff>
      <xdr:row>8</xdr:row>
      <xdr:rowOff>176213</xdr:rowOff>
    </xdr:from>
    <xdr:to>
      <xdr:col>31</xdr:col>
      <xdr:colOff>85724</xdr:colOff>
      <xdr:row>11</xdr:row>
      <xdr:rowOff>33338</xdr:rowOff>
    </xdr:to>
    <xdr:sp macro="" textlink="KPI!C17">
      <xdr:nvSpPr>
        <xdr:cNvPr id="19" name="TextBox 18">
          <a:extLst>
            <a:ext uri="{FF2B5EF4-FFF2-40B4-BE49-F238E27FC236}">
              <a16:creationId xmlns:a16="http://schemas.microsoft.com/office/drawing/2014/main" id="{EC7604D8-212C-4B30-8004-FC4A2ADE8059}"/>
            </a:ext>
          </a:extLst>
        </xdr:cNvPr>
        <xdr:cNvSpPr txBox="1"/>
      </xdr:nvSpPr>
      <xdr:spPr>
        <a:xfrm>
          <a:off x="16525874" y="1700213"/>
          <a:ext cx="24574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AFEE18-B9B2-49B2-8CA1-B3E034E9762B}" type="TxLink">
            <a:rPr lang="en-US" sz="2400" b="1" i="0" u="none" strike="noStrike">
              <a:solidFill>
                <a:srgbClr val="000000"/>
              </a:solidFill>
              <a:latin typeface="Calibri"/>
              <a:cs typeface="Calibri"/>
            </a:rPr>
            <a:pPr algn="ctr"/>
            <a:t>1,000</a:t>
          </a:fld>
          <a:endParaRPr lang="en-IN" sz="2400" b="1"/>
        </a:p>
      </xdr:txBody>
    </xdr:sp>
    <xdr:clientData/>
  </xdr:twoCellAnchor>
  <xdr:twoCellAnchor>
    <xdr:from>
      <xdr:col>4</xdr:col>
      <xdr:colOff>485775</xdr:colOff>
      <xdr:row>12</xdr:row>
      <xdr:rowOff>85725</xdr:rowOff>
    </xdr:from>
    <xdr:to>
      <xdr:col>31</xdr:col>
      <xdr:colOff>552450</xdr:colOff>
      <xdr:row>57</xdr:row>
      <xdr:rowOff>104775</xdr:rowOff>
    </xdr:to>
    <xdr:sp macro="" textlink="">
      <xdr:nvSpPr>
        <xdr:cNvPr id="14" name="Rectangle: Rounded Corners 13">
          <a:extLst>
            <a:ext uri="{FF2B5EF4-FFF2-40B4-BE49-F238E27FC236}">
              <a16:creationId xmlns:a16="http://schemas.microsoft.com/office/drawing/2014/main" id="{C6265D02-CF32-472F-4F54-C3FB46FE4D5C}"/>
            </a:ext>
          </a:extLst>
        </xdr:cNvPr>
        <xdr:cNvSpPr/>
      </xdr:nvSpPr>
      <xdr:spPr>
        <a:xfrm>
          <a:off x="2924175" y="2371725"/>
          <a:ext cx="16525875" cy="8591550"/>
        </a:xfrm>
        <a:prstGeom prst="roundRect">
          <a:avLst>
            <a:gd name="adj" fmla="val 1700"/>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9525</xdr:colOff>
      <xdr:row>13</xdr:row>
      <xdr:rowOff>76200</xdr:rowOff>
    </xdr:from>
    <xdr:to>
      <xdr:col>18</xdr:col>
      <xdr:colOff>361950</xdr:colOff>
      <xdr:row>37</xdr:row>
      <xdr:rowOff>47625</xdr:rowOff>
    </xdr:to>
    <xdr:graphicFrame macro="">
      <xdr:nvGraphicFramePr>
        <xdr:cNvPr id="6" name="Chart 5">
          <a:extLst>
            <a:ext uri="{FF2B5EF4-FFF2-40B4-BE49-F238E27FC236}">
              <a16:creationId xmlns:a16="http://schemas.microsoft.com/office/drawing/2014/main" id="{7B3DB8FE-1CCA-4AE1-A43A-E35AD23DD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419100</xdr:colOff>
      <xdr:row>13</xdr:row>
      <xdr:rowOff>76200</xdr:rowOff>
    </xdr:from>
    <xdr:to>
      <xdr:col>26</xdr:col>
      <xdr:colOff>76200</xdr:colOff>
      <xdr:row>37</xdr:row>
      <xdr:rowOff>38100</xdr:rowOff>
    </xdr:to>
    <xdr:graphicFrame macro="">
      <xdr:nvGraphicFramePr>
        <xdr:cNvPr id="7" name="Chart 6">
          <a:extLst>
            <a:ext uri="{FF2B5EF4-FFF2-40B4-BE49-F238E27FC236}">
              <a16:creationId xmlns:a16="http://schemas.microsoft.com/office/drawing/2014/main" id="{25E4BB9A-9E2A-465D-98BB-CC70EA968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533400</xdr:colOff>
      <xdr:row>6</xdr:row>
      <xdr:rowOff>104775</xdr:rowOff>
    </xdr:from>
    <xdr:to>
      <xdr:col>16</xdr:col>
      <xdr:colOff>285749</xdr:colOff>
      <xdr:row>11</xdr:row>
      <xdr:rowOff>57150</xdr:rowOff>
    </xdr:to>
    <xdr:sp macro="" textlink="">
      <xdr:nvSpPr>
        <xdr:cNvPr id="20" name="Rectangle: Rounded Corners 19">
          <a:extLst>
            <a:ext uri="{FF2B5EF4-FFF2-40B4-BE49-F238E27FC236}">
              <a16:creationId xmlns:a16="http://schemas.microsoft.com/office/drawing/2014/main" id="{112676F7-D099-4EE4-A525-DE72655F11EF}"/>
            </a:ext>
          </a:extLst>
        </xdr:cNvPr>
        <xdr:cNvSpPr/>
      </xdr:nvSpPr>
      <xdr:spPr>
        <a:xfrm>
          <a:off x="2971800" y="1247775"/>
          <a:ext cx="7067549" cy="904875"/>
        </a:xfrm>
        <a:prstGeom prst="roundRect">
          <a:avLst>
            <a:gd name="adj" fmla="val 8246"/>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228600</xdr:colOff>
      <xdr:row>37</xdr:row>
      <xdr:rowOff>38100</xdr:rowOff>
    </xdr:from>
    <xdr:to>
      <xdr:col>31</xdr:col>
      <xdr:colOff>428625</xdr:colOff>
      <xdr:row>56</xdr:row>
      <xdr:rowOff>152401</xdr:rowOff>
    </xdr:to>
    <xdr:graphicFrame macro="">
      <xdr:nvGraphicFramePr>
        <xdr:cNvPr id="8" name="Chart 7">
          <a:extLst>
            <a:ext uri="{FF2B5EF4-FFF2-40B4-BE49-F238E27FC236}">
              <a16:creationId xmlns:a16="http://schemas.microsoft.com/office/drawing/2014/main" id="{199C13D1-4A4A-4411-8A36-6915A951F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38099</xdr:colOff>
      <xdr:row>37</xdr:row>
      <xdr:rowOff>123824</xdr:rowOff>
    </xdr:from>
    <xdr:to>
      <xdr:col>21</xdr:col>
      <xdr:colOff>190500</xdr:colOff>
      <xdr:row>56</xdr:row>
      <xdr:rowOff>152399</xdr:rowOff>
    </xdr:to>
    <xdr:graphicFrame macro="">
      <xdr:nvGraphicFramePr>
        <xdr:cNvPr id="4" name="Chart 3">
          <a:extLst>
            <a:ext uri="{FF2B5EF4-FFF2-40B4-BE49-F238E27FC236}">
              <a16:creationId xmlns:a16="http://schemas.microsoft.com/office/drawing/2014/main" id="{7FE0BAF0-25DD-4559-BB1D-6C3920BEF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590549</xdr:colOff>
      <xdr:row>37</xdr:row>
      <xdr:rowOff>123825</xdr:rowOff>
    </xdr:from>
    <xdr:to>
      <xdr:col>14</xdr:col>
      <xdr:colOff>9525</xdr:colOff>
      <xdr:row>56</xdr:row>
      <xdr:rowOff>161925</xdr:rowOff>
    </xdr:to>
    <xdr:graphicFrame macro="">
      <xdr:nvGraphicFramePr>
        <xdr:cNvPr id="2" name="Chart 1">
          <a:extLst>
            <a:ext uri="{FF2B5EF4-FFF2-40B4-BE49-F238E27FC236}">
              <a16:creationId xmlns:a16="http://schemas.microsoft.com/office/drawing/2014/main" id="{A0A16927-3664-4A65-BCFA-D443C0AC7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571499</xdr:colOff>
      <xdr:row>6</xdr:row>
      <xdr:rowOff>161926</xdr:rowOff>
    </xdr:from>
    <xdr:to>
      <xdr:col>16</xdr:col>
      <xdr:colOff>247650</xdr:colOff>
      <xdr:row>11</xdr:row>
      <xdr:rowOff>9526</xdr:rowOff>
    </xdr:to>
    <xdr:sp macro="" textlink="">
      <xdr:nvSpPr>
        <xdr:cNvPr id="5" name="TextBox 4">
          <a:extLst>
            <a:ext uri="{FF2B5EF4-FFF2-40B4-BE49-F238E27FC236}">
              <a16:creationId xmlns:a16="http://schemas.microsoft.com/office/drawing/2014/main" id="{4A7512B0-2586-4104-1622-530952786ADE}"/>
            </a:ext>
          </a:extLst>
        </xdr:cNvPr>
        <xdr:cNvSpPr txBox="1"/>
      </xdr:nvSpPr>
      <xdr:spPr>
        <a:xfrm>
          <a:off x="3009899" y="1304926"/>
          <a:ext cx="6991351"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t>COFFEE SALES DASHBOARD</a:t>
          </a:r>
        </a:p>
      </xdr:txBody>
    </xdr:sp>
    <xdr:clientData/>
  </xdr:twoCellAnchor>
  <xdr:twoCellAnchor editAs="oneCell">
    <xdr:from>
      <xdr:col>26</xdr:col>
      <xdr:colOff>57151</xdr:colOff>
      <xdr:row>14</xdr:row>
      <xdr:rowOff>66675</xdr:rowOff>
    </xdr:from>
    <xdr:to>
      <xdr:col>31</xdr:col>
      <xdr:colOff>485775</xdr:colOff>
      <xdr:row>21</xdr:row>
      <xdr:rowOff>38100</xdr:rowOff>
    </xdr:to>
    <mc:AlternateContent xmlns:mc="http://schemas.openxmlformats.org/markup-compatibility/2006" xmlns:tsle="http://schemas.microsoft.com/office/drawing/2012/timeslicer">
      <mc:Choice Requires="tsle">
        <xdr:graphicFrame macro="">
          <xdr:nvGraphicFramePr>
            <xdr:cNvPr id="21" name="Order Date 1">
              <a:extLst>
                <a:ext uri="{FF2B5EF4-FFF2-40B4-BE49-F238E27FC236}">
                  <a16:creationId xmlns:a16="http://schemas.microsoft.com/office/drawing/2014/main" id="{CBFECD60-3BE8-4F65-A492-F571DF5C37AB}"/>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5906751" y="2733675"/>
              <a:ext cx="3476624" cy="1304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29</xdr:col>
      <xdr:colOff>104775</xdr:colOff>
      <xdr:row>21</xdr:row>
      <xdr:rowOff>66675</xdr:rowOff>
    </xdr:from>
    <xdr:to>
      <xdr:col>31</xdr:col>
      <xdr:colOff>504825</xdr:colOff>
      <xdr:row>26</xdr:row>
      <xdr:rowOff>9524</xdr:rowOff>
    </xdr:to>
    <mc:AlternateContent xmlns:mc="http://schemas.openxmlformats.org/markup-compatibility/2006" xmlns:a14="http://schemas.microsoft.com/office/drawing/2010/main">
      <mc:Choice Requires="a14">
        <xdr:graphicFrame macro="">
          <xdr:nvGraphicFramePr>
            <xdr:cNvPr id="22" name="Size 1">
              <a:extLst>
                <a:ext uri="{FF2B5EF4-FFF2-40B4-BE49-F238E27FC236}">
                  <a16:creationId xmlns:a16="http://schemas.microsoft.com/office/drawing/2014/main" id="{49CDF5F8-32EF-441C-9E29-C49744B88D56}"/>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7783175" y="4067175"/>
              <a:ext cx="1619250"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76199</xdr:colOff>
      <xdr:row>21</xdr:row>
      <xdr:rowOff>66676</xdr:rowOff>
    </xdr:from>
    <xdr:to>
      <xdr:col>29</xdr:col>
      <xdr:colOff>76199</xdr:colOff>
      <xdr:row>26</xdr:row>
      <xdr:rowOff>9525</xdr:rowOff>
    </xdr:to>
    <mc:AlternateContent xmlns:mc="http://schemas.openxmlformats.org/markup-compatibility/2006" xmlns:a14="http://schemas.microsoft.com/office/drawing/2010/main">
      <mc:Choice Requires="a14">
        <xdr:graphicFrame macro="">
          <xdr:nvGraphicFramePr>
            <xdr:cNvPr id="23" name="Coffee Type Name 1">
              <a:extLst>
                <a:ext uri="{FF2B5EF4-FFF2-40B4-BE49-F238E27FC236}">
                  <a16:creationId xmlns:a16="http://schemas.microsoft.com/office/drawing/2014/main" id="{0BB65FA5-C20B-401A-AB91-5EE200F9C158}"/>
                </a:ext>
              </a:extLst>
            </xdr:cNvPr>
            <xdr:cNvGraphicFramePr/>
          </xdr:nvGraphicFramePr>
          <xdr:xfrm>
            <a:off x="0" y="0"/>
            <a:ext cx="0" cy="0"/>
          </xdr:xfrm>
          <a:graphic>
            <a:graphicData uri="http://schemas.microsoft.com/office/drawing/2010/slicer">
              <sle:slicer xmlns:sle="http://schemas.microsoft.com/office/drawing/2010/slicer" name="Coffee Type Name 1"/>
            </a:graphicData>
          </a:graphic>
        </xdr:graphicFrame>
      </mc:Choice>
      <mc:Fallback xmlns="">
        <xdr:sp macro="" textlink="">
          <xdr:nvSpPr>
            <xdr:cNvPr id="0" name=""/>
            <xdr:cNvSpPr>
              <a:spLocks noTextEdit="1"/>
            </xdr:cNvSpPr>
          </xdr:nvSpPr>
          <xdr:spPr>
            <a:xfrm>
              <a:off x="15925799" y="4067176"/>
              <a:ext cx="1828800"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76199</xdr:colOff>
      <xdr:row>26</xdr:row>
      <xdr:rowOff>38103</xdr:rowOff>
    </xdr:from>
    <xdr:to>
      <xdr:col>29</xdr:col>
      <xdr:colOff>66675</xdr:colOff>
      <xdr:row>29</xdr:row>
      <xdr:rowOff>95250</xdr:rowOff>
    </xdr:to>
    <mc:AlternateContent xmlns:mc="http://schemas.openxmlformats.org/markup-compatibility/2006" xmlns:a14="http://schemas.microsoft.com/office/drawing/2010/main">
      <mc:Choice Requires="a14">
        <xdr:graphicFrame macro="">
          <xdr:nvGraphicFramePr>
            <xdr:cNvPr id="24" name="Roast Type Name 1">
              <a:extLst>
                <a:ext uri="{FF2B5EF4-FFF2-40B4-BE49-F238E27FC236}">
                  <a16:creationId xmlns:a16="http://schemas.microsoft.com/office/drawing/2014/main" id="{CF790656-1620-45F6-B860-D543B47FB355}"/>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5925799" y="4991103"/>
              <a:ext cx="1819276" cy="628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85724</xdr:colOff>
      <xdr:row>26</xdr:row>
      <xdr:rowOff>28578</xdr:rowOff>
    </xdr:from>
    <xdr:to>
      <xdr:col>31</xdr:col>
      <xdr:colOff>485775</xdr:colOff>
      <xdr:row>29</xdr:row>
      <xdr:rowOff>95250</xdr:rowOff>
    </xdr:to>
    <mc:AlternateContent xmlns:mc="http://schemas.openxmlformats.org/markup-compatibility/2006" xmlns:a14="http://schemas.microsoft.com/office/drawing/2010/main">
      <mc:Choice Requires="a14">
        <xdr:graphicFrame macro="">
          <xdr:nvGraphicFramePr>
            <xdr:cNvPr id="25" name="Loyalty Card 1">
              <a:extLst>
                <a:ext uri="{FF2B5EF4-FFF2-40B4-BE49-F238E27FC236}">
                  <a16:creationId xmlns:a16="http://schemas.microsoft.com/office/drawing/2014/main" id="{BFF8C245-53FA-4B42-AC9E-4C8E72B8973E}"/>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7764124" y="4981578"/>
              <a:ext cx="1619251" cy="638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BEEL" refreshedDate="45694.593913888886" createdVersion="8" refreshedVersion="8" minRefreshableVersion="3" recordCount="1000" xr:uid="{EE225061-D736-402F-B785-3620D0AD2DCA}">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728264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x v="0"/>
    <s v="M"/>
    <x v="0"/>
    <n v="9.9499999999999993"/>
    <n v="19.899999999999999"/>
    <x v="0"/>
    <x v="0"/>
    <x v="0"/>
  </r>
  <r>
    <s v="QEV-37451-860"/>
    <x v="0"/>
    <x v="0"/>
    <s v="E-M-0.5"/>
    <n v="5"/>
    <x v="0"/>
    <s v="aallner0@lulu.com"/>
    <x v="0"/>
    <x v="1"/>
    <s v="M"/>
    <x v="1"/>
    <n v="8.25"/>
    <n v="41.25"/>
    <x v="1"/>
    <x v="0"/>
    <x v="0"/>
  </r>
  <r>
    <s v="FAA-43335-268"/>
    <x v="1"/>
    <x v="1"/>
    <s v="A-L-1"/>
    <n v="1"/>
    <x v="1"/>
    <s v="jredholes2@tmall.com"/>
    <x v="0"/>
    <x v="2"/>
    <s v="L"/>
    <x v="0"/>
    <n v="12.95"/>
    <n v="12.95"/>
    <x v="2"/>
    <x v="1"/>
    <x v="0"/>
  </r>
  <r>
    <s v="KAC-83089-793"/>
    <x v="2"/>
    <x v="2"/>
    <s v="E-M-1"/>
    <n v="2"/>
    <x v="2"/>
    <s v=""/>
    <x v="1"/>
    <x v="1"/>
    <s v="M"/>
    <x v="0"/>
    <n v="13.75"/>
    <n v="27.5"/>
    <x v="1"/>
    <x v="0"/>
    <x v="1"/>
  </r>
  <r>
    <s v="KAC-83089-793"/>
    <x v="2"/>
    <x v="2"/>
    <s v="R-L-2.5"/>
    <n v="2"/>
    <x v="2"/>
    <s v=""/>
    <x v="1"/>
    <x v="0"/>
    <s v="L"/>
    <x v="2"/>
    <n v="27.484999999999996"/>
    <n v="54.969999999999992"/>
    <x v="0"/>
    <x v="1"/>
    <x v="1"/>
  </r>
  <r>
    <s v="CVP-18956-553"/>
    <x v="3"/>
    <x v="3"/>
    <s v="L-D-1"/>
    <n v="3"/>
    <x v="3"/>
    <s v=""/>
    <x v="0"/>
    <x v="3"/>
    <s v="D"/>
    <x v="0"/>
    <n v="12.95"/>
    <n v="38.849999999999994"/>
    <x v="3"/>
    <x v="2"/>
    <x v="1"/>
  </r>
  <r>
    <s v="IPP-31994-879"/>
    <x v="4"/>
    <x v="4"/>
    <s v="E-D-0.5"/>
    <n v="3"/>
    <x v="4"/>
    <s v="slobe6@nifty.com"/>
    <x v="0"/>
    <x v="1"/>
    <s v="D"/>
    <x v="1"/>
    <n v="7.29"/>
    <n v="21.87"/>
    <x v="1"/>
    <x v="2"/>
    <x v="0"/>
  </r>
  <r>
    <s v="SNZ-65340-705"/>
    <x v="5"/>
    <x v="5"/>
    <s v="L-L-0.2"/>
    <n v="1"/>
    <x v="5"/>
    <s v=""/>
    <x v="1"/>
    <x v="3"/>
    <s v="L"/>
    <x v="3"/>
    <n v="4.7549999999999999"/>
    <n v="4.7549999999999999"/>
    <x v="3"/>
    <x v="1"/>
    <x v="0"/>
  </r>
  <r>
    <s v="EZT-46571-659"/>
    <x v="6"/>
    <x v="6"/>
    <s v="R-M-0.5"/>
    <n v="3"/>
    <x v="6"/>
    <s v="gpetracci8@livejournal.com"/>
    <x v="0"/>
    <x v="0"/>
    <s v="M"/>
    <x v="1"/>
    <n v="5.97"/>
    <n v="17.91"/>
    <x v="0"/>
    <x v="0"/>
    <x v="1"/>
  </r>
  <r>
    <s v="NWQ-70061-912"/>
    <x v="0"/>
    <x v="7"/>
    <s v="R-M-0.5"/>
    <n v="1"/>
    <x v="7"/>
    <s v="rraven9@ed.gov"/>
    <x v="0"/>
    <x v="0"/>
    <s v="M"/>
    <x v="1"/>
    <n v="5.97"/>
    <n v="5.97"/>
    <x v="0"/>
    <x v="0"/>
    <x v="1"/>
  </r>
  <r>
    <s v="BKK-47233-845"/>
    <x v="7"/>
    <x v="8"/>
    <s v="A-D-1"/>
    <n v="4"/>
    <x v="8"/>
    <s v="fferbera@businesswire.com"/>
    <x v="0"/>
    <x v="2"/>
    <s v="D"/>
    <x v="0"/>
    <n v="9.9499999999999993"/>
    <n v="39.799999999999997"/>
    <x v="2"/>
    <x v="2"/>
    <x v="1"/>
  </r>
  <r>
    <s v="VQR-01002-970"/>
    <x v="8"/>
    <x v="9"/>
    <s v="E-L-2.5"/>
    <n v="5"/>
    <x v="9"/>
    <s v="dphizackerlyb@utexas.edu"/>
    <x v="0"/>
    <x v="1"/>
    <s v="L"/>
    <x v="2"/>
    <n v="34.154999999999994"/>
    <n v="170.77499999999998"/>
    <x v="1"/>
    <x v="1"/>
    <x v="0"/>
  </r>
  <r>
    <s v="SZW-48378-399"/>
    <x v="9"/>
    <x v="10"/>
    <s v="R-M-1"/>
    <n v="5"/>
    <x v="10"/>
    <s v="rscholarc@nyu.edu"/>
    <x v="0"/>
    <x v="0"/>
    <s v="M"/>
    <x v="0"/>
    <n v="9.9499999999999993"/>
    <n v="49.75"/>
    <x v="0"/>
    <x v="0"/>
    <x v="1"/>
  </r>
  <r>
    <s v="ITA-87418-783"/>
    <x v="10"/>
    <x v="11"/>
    <s v="R-D-2.5"/>
    <n v="2"/>
    <x v="11"/>
    <s v="tvanyutind@wix.com"/>
    <x v="0"/>
    <x v="0"/>
    <s v="D"/>
    <x v="2"/>
    <n v="20.584999999999997"/>
    <n v="41.169999999999995"/>
    <x v="0"/>
    <x v="2"/>
    <x v="1"/>
  </r>
  <r>
    <s v="GNZ-46006-527"/>
    <x v="11"/>
    <x v="12"/>
    <s v="L-D-0.2"/>
    <n v="3"/>
    <x v="12"/>
    <s v="ptrobee@wunderground.com"/>
    <x v="0"/>
    <x v="3"/>
    <s v="D"/>
    <x v="3"/>
    <n v="3.8849999999999998"/>
    <n v="11.654999999999999"/>
    <x v="3"/>
    <x v="2"/>
    <x v="0"/>
  </r>
  <r>
    <s v="FYQ-78248-319"/>
    <x v="12"/>
    <x v="13"/>
    <s v="R-M-2.5"/>
    <n v="5"/>
    <x v="13"/>
    <s v="loscroftf@ebay.co.uk"/>
    <x v="0"/>
    <x v="0"/>
    <s v="M"/>
    <x v="2"/>
    <n v="22.884999999999998"/>
    <n v="114.42499999999998"/>
    <x v="0"/>
    <x v="0"/>
    <x v="1"/>
  </r>
  <r>
    <s v="VAU-44387-624"/>
    <x v="13"/>
    <x v="14"/>
    <s v="A-M-0.2"/>
    <n v="6"/>
    <x v="14"/>
    <s v="malabasterg@hexun.com"/>
    <x v="0"/>
    <x v="2"/>
    <s v="M"/>
    <x v="3"/>
    <n v="3.375"/>
    <n v="20.25"/>
    <x v="2"/>
    <x v="0"/>
    <x v="1"/>
  </r>
  <r>
    <s v="RDW-33155-159"/>
    <x v="14"/>
    <x v="15"/>
    <s v="A-L-1"/>
    <n v="6"/>
    <x v="15"/>
    <s v="rbroxuph@jimdo.com"/>
    <x v="0"/>
    <x v="2"/>
    <s v="L"/>
    <x v="0"/>
    <n v="12.95"/>
    <n v="77.699999999999989"/>
    <x v="2"/>
    <x v="1"/>
    <x v="1"/>
  </r>
  <r>
    <s v="TDZ-59011-211"/>
    <x v="15"/>
    <x v="16"/>
    <s v="R-D-2.5"/>
    <n v="4"/>
    <x v="16"/>
    <s v="predfordi@ow.ly"/>
    <x v="1"/>
    <x v="0"/>
    <s v="D"/>
    <x v="2"/>
    <n v="20.584999999999997"/>
    <n v="82.339999999999989"/>
    <x v="0"/>
    <x v="2"/>
    <x v="0"/>
  </r>
  <r>
    <s v="IDU-25793-399"/>
    <x v="16"/>
    <x v="17"/>
    <s v="A-M-0.2"/>
    <n v="5"/>
    <x v="17"/>
    <s v="acorradinoj@harvard.edu"/>
    <x v="0"/>
    <x v="2"/>
    <s v="M"/>
    <x v="3"/>
    <n v="3.375"/>
    <n v="16.875"/>
    <x v="2"/>
    <x v="0"/>
    <x v="0"/>
  </r>
  <r>
    <s v="IDU-25793-399"/>
    <x v="16"/>
    <x v="17"/>
    <s v="E-D-0.2"/>
    <n v="4"/>
    <x v="17"/>
    <s v="acorradinoj@harvard.edu"/>
    <x v="0"/>
    <x v="1"/>
    <s v="D"/>
    <x v="3"/>
    <n v="3.645"/>
    <n v="14.58"/>
    <x v="1"/>
    <x v="2"/>
    <x v="0"/>
  </r>
  <r>
    <s v="NUO-20013-488"/>
    <x v="16"/>
    <x v="18"/>
    <s v="A-D-0.2"/>
    <n v="6"/>
    <x v="18"/>
    <s v="adavidowskyl@netvibes.com"/>
    <x v="0"/>
    <x v="2"/>
    <s v="D"/>
    <x v="3"/>
    <n v="2.9849999999999999"/>
    <n v="17.91"/>
    <x v="2"/>
    <x v="2"/>
    <x v="1"/>
  </r>
  <r>
    <s v="UQU-65630-479"/>
    <x v="17"/>
    <x v="19"/>
    <s v="R-M-2.5"/>
    <n v="4"/>
    <x v="19"/>
    <s v="aantukm@kickstarter.com"/>
    <x v="0"/>
    <x v="0"/>
    <s v="M"/>
    <x v="2"/>
    <n v="22.884999999999998"/>
    <n v="91.539999999999992"/>
    <x v="0"/>
    <x v="0"/>
    <x v="0"/>
  </r>
  <r>
    <s v="FEO-11834-332"/>
    <x v="18"/>
    <x v="20"/>
    <s v="A-D-0.2"/>
    <n v="4"/>
    <x v="20"/>
    <s v="ikleinertn@timesonline.co.uk"/>
    <x v="0"/>
    <x v="2"/>
    <s v="D"/>
    <x v="3"/>
    <n v="2.9849999999999999"/>
    <n v="11.94"/>
    <x v="2"/>
    <x v="2"/>
    <x v="0"/>
  </r>
  <r>
    <s v="TKY-71558-096"/>
    <x v="19"/>
    <x v="21"/>
    <s v="A-M-1"/>
    <n v="1"/>
    <x v="21"/>
    <s v="cblofeldo@amazon.co.uk"/>
    <x v="0"/>
    <x v="2"/>
    <s v="M"/>
    <x v="0"/>
    <n v="11.25"/>
    <n v="11.25"/>
    <x v="2"/>
    <x v="0"/>
    <x v="1"/>
  </r>
  <r>
    <s v="OXY-65322-253"/>
    <x v="20"/>
    <x v="22"/>
    <s v="E-M-0.2"/>
    <n v="3"/>
    <x v="22"/>
    <s v=""/>
    <x v="0"/>
    <x v="1"/>
    <s v="M"/>
    <x v="3"/>
    <n v="4.125"/>
    <n v="12.375"/>
    <x v="1"/>
    <x v="0"/>
    <x v="0"/>
  </r>
  <r>
    <s v="EVP-43500-491"/>
    <x v="21"/>
    <x v="23"/>
    <s v="A-M-0.5"/>
    <n v="4"/>
    <x v="23"/>
    <s v="sshalesq@umich.edu"/>
    <x v="0"/>
    <x v="2"/>
    <s v="M"/>
    <x v="1"/>
    <n v="6.75"/>
    <n v="27"/>
    <x v="2"/>
    <x v="0"/>
    <x v="0"/>
  </r>
  <r>
    <s v="WAG-26945-689"/>
    <x v="22"/>
    <x v="24"/>
    <s v="A-M-0.2"/>
    <n v="5"/>
    <x v="24"/>
    <s v="vdanneilr@mtv.com"/>
    <x v="1"/>
    <x v="2"/>
    <s v="M"/>
    <x v="3"/>
    <n v="3.375"/>
    <n v="16.875"/>
    <x v="2"/>
    <x v="0"/>
    <x v="1"/>
  </r>
  <r>
    <s v="CHE-78995-767"/>
    <x v="23"/>
    <x v="25"/>
    <s v="A-D-0.5"/>
    <n v="3"/>
    <x v="25"/>
    <s v="tnewburys@usda.gov"/>
    <x v="1"/>
    <x v="2"/>
    <s v="D"/>
    <x v="1"/>
    <n v="5.97"/>
    <n v="17.91"/>
    <x v="2"/>
    <x v="2"/>
    <x v="1"/>
  </r>
  <r>
    <s v="RYZ-14633-602"/>
    <x v="21"/>
    <x v="26"/>
    <s v="A-D-1"/>
    <n v="4"/>
    <x v="26"/>
    <s v="mcalcuttt@baidu.com"/>
    <x v="1"/>
    <x v="2"/>
    <s v="D"/>
    <x v="0"/>
    <n v="9.9499999999999993"/>
    <n v="39.799999999999997"/>
    <x v="2"/>
    <x v="2"/>
    <x v="0"/>
  </r>
  <r>
    <s v="WOQ-36015-429"/>
    <x v="24"/>
    <x v="27"/>
    <s v="L-M-0.2"/>
    <n v="5"/>
    <x v="27"/>
    <s v=""/>
    <x v="0"/>
    <x v="3"/>
    <s v="M"/>
    <x v="3"/>
    <n v="4.3650000000000002"/>
    <n v="21.825000000000003"/>
    <x v="3"/>
    <x v="0"/>
    <x v="1"/>
  </r>
  <r>
    <s v="WOQ-36015-429"/>
    <x v="24"/>
    <x v="27"/>
    <s v="A-D-0.5"/>
    <n v="6"/>
    <x v="27"/>
    <s v=""/>
    <x v="0"/>
    <x v="2"/>
    <s v="D"/>
    <x v="1"/>
    <n v="5.97"/>
    <n v="35.82"/>
    <x v="2"/>
    <x v="2"/>
    <x v="1"/>
  </r>
  <r>
    <s v="WOQ-36015-429"/>
    <x v="24"/>
    <x v="27"/>
    <s v="L-M-0.5"/>
    <n v="6"/>
    <x v="27"/>
    <s v=""/>
    <x v="0"/>
    <x v="3"/>
    <s v="M"/>
    <x v="1"/>
    <n v="8.73"/>
    <n v="52.38"/>
    <x v="3"/>
    <x v="0"/>
    <x v="1"/>
  </r>
  <r>
    <s v="SCT-60553-454"/>
    <x v="25"/>
    <x v="28"/>
    <s v="L-L-0.2"/>
    <n v="5"/>
    <x v="28"/>
    <s v="ggatheralx@123-reg.co.uk"/>
    <x v="0"/>
    <x v="3"/>
    <s v="L"/>
    <x v="3"/>
    <n v="4.7549999999999999"/>
    <n v="23.774999999999999"/>
    <x v="3"/>
    <x v="1"/>
    <x v="1"/>
  </r>
  <r>
    <s v="GFK-52063-244"/>
    <x v="26"/>
    <x v="29"/>
    <s v="L-L-0.5"/>
    <n v="6"/>
    <x v="29"/>
    <s v="uwelberryy@ebay.co.uk"/>
    <x v="2"/>
    <x v="3"/>
    <s v="L"/>
    <x v="1"/>
    <n v="9.51"/>
    <n v="57.06"/>
    <x v="3"/>
    <x v="1"/>
    <x v="0"/>
  </r>
  <r>
    <s v="AMM-79521-378"/>
    <x v="27"/>
    <x v="30"/>
    <s v="A-D-0.5"/>
    <n v="6"/>
    <x v="30"/>
    <s v="feilhartz@who.int"/>
    <x v="0"/>
    <x v="2"/>
    <s v="D"/>
    <x v="1"/>
    <n v="5.97"/>
    <n v="35.82"/>
    <x v="2"/>
    <x v="2"/>
    <x v="1"/>
  </r>
  <r>
    <s v="QUQ-90580-772"/>
    <x v="28"/>
    <x v="31"/>
    <s v="L-M-0.2"/>
    <n v="2"/>
    <x v="31"/>
    <s v="zponting10@altervista.org"/>
    <x v="0"/>
    <x v="3"/>
    <s v="M"/>
    <x v="3"/>
    <n v="4.3650000000000002"/>
    <n v="8.73"/>
    <x v="3"/>
    <x v="0"/>
    <x v="1"/>
  </r>
  <r>
    <s v="LGD-24408-274"/>
    <x v="29"/>
    <x v="32"/>
    <s v="L-L-0.5"/>
    <n v="3"/>
    <x v="32"/>
    <s v="sstrase11@booking.com"/>
    <x v="0"/>
    <x v="3"/>
    <s v="L"/>
    <x v="1"/>
    <n v="9.51"/>
    <n v="28.53"/>
    <x v="3"/>
    <x v="1"/>
    <x v="1"/>
  </r>
  <r>
    <s v="HCT-95608-959"/>
    <x v="30"/>
    <x v="33"/>
    <s v="R-M-2.5"/>
    <n v="5"/>
    <x v="33"/>
    <s v="dde12@unesco.org"/>
    <x v="0"/>
    <x v="0"/>
    <s v="M"/>
    <x v="2"/>
    <n v="22.884999999999998"/>
    <n v="114.42499999999998"/>
    <x v="0"/>
    <x v="0"/>
    <x v="1"/>
  </r>
  <r>
    <s v="OFX-99147-470"/>
    <x v="31"/>
    <x v="34"/>
    <s v="R-M-1"/>
    <n v="6"/>
    <x v="34"/>
    <s v=""/>
    <x v="0"/>
    <x v="0"/>
    <s v="M"/>
    <x v="0"/>
    <n v="9.9499999999999993"/>
    <n v="59.699999999999996"/>
    <x v="0"/>
    <x v="0"/>
    <x v="0"/>
  </r>
  <r>
    <s v="LUO-37559-016"/>
    <x v="32"/>
    <x v="35"/>
    <s v="L-M-1"/>
    <n v="3"/>
    <x v="35"/>
    <s v=""/>
    <x v="0"/>
    <x v="3"/>
    <s v="M"/>
    <x v="0"/>
    <n v="14.55"/>
    <n v="43.650000000000006"/>
    <x v="3"/>
    <x v="0"/>
    <x v="1"/>
  </r>
  <r>
    <s v="XWC-20610-167"/>
    <x v="33"/>
    <x v="36"/>
    <s v="E-D-0.2"/>
    <n v="2"/>
    <x v="36"/>
    <s v="lyeoland15@pbs.org"/>
    <x v="0"/>
    <x v="1"/>
    <s v="D"/>
    <x v="3"/>
    <n v="3.645"/>
    <n v="7.29"/>
    <x v="1"/>
    <x v="2"/>
    <x v="0"/>
  </r>
  <r>
    <s v="GPU-79113-136"/>
    <x v="34"/>
    <x v="37"/>
    <s v="R-D-0.2"/>
    <n v="3"/>
    <x v="37"/>
    <s v="atolworthy16@toplist.cz"/>
    <x v="0"/>
    <x v="0"/>
    <s v="D"/>
    <x v="3"/>
    <n v="2.6849999999999996"/>
    <n v="8.0549999999999997"/>
    <x v="0"/>
    <x v="2"/>
    <x v="0"/>
  </r>
  <r>
    <s v="ULR-52653-960"/>
    <x v="35"/>
    <x v="38"/>
    <s v="L-L-2.5"/>
    <n v="2"/>
    <x v="38"/>
    <s v=""/>
    <x v="0"/>
    <x v="3"/>
    <s v="L"/>
    <x v="2"/>
    <n v="36.454999999999998"/>
    <n v="72.91"/>
    <x v="3"/>
    <x v="1"/>
    <x v="1"/>
  </r>
  <r>
    <s v="HPI-42308-142"/>
    <x v="36"/>
    <x v="39"/>
    <s v="E-M-0.5"/>
    <n v="2"/>
    <x v="39"/>
    <s v="obaudassi18@seesaa.net"/>
    <x v="0"/>
    <x v="1"/>
    <s v="M"/>
    <x v="1"/>
    <n v="8.25"/>
    <n v="16.5"/>
    <x v="1"/>
    <x v="0"/>
    <x v="0"/>
  </r>
  <r>
    <s v="XHI-30227-581"/>
    <x v="37"/>
    <x v="40"/>
    <s v="L-D-2.5"/>
    <n v="6"/>
    <x v="40"/>
    <s v="pkingsbury19@comcast.net"/>
    <x v="0"/>
    <x v="3"/>
    <s v="D"/>
    <x v="2"/>
    <n v="29.784999999999997"/>
    <n v="178.70999999999998"/>
    <x v="3"/>
    <x v="2"/>
    <x v="1"/>
  </r>
  <r>
    <s v="DJH-05202-380"/>
    <x v="38"/>
    <x v="41"/>
    <s v="E-M-2.5"/>
    <n v="2"/>
    <x v="41"/>
    <s v=""/>
    <x v="0"/>
    <x v="1"/>
    <s v="M"/>
    <x v="2"/>
    <n v="31.624999999999996"/>
    <n v="63.249999999999993"/>
    <x v="1"/>
    <x v="0"/>
    <x v="0"/>
  </r>
  <r>
    <s v="VMW-26889-781"/>
    <x v="39"/>
    <x v="42"/>
    <s v="A-L-0.2"/>
    <n v="2"/>
    <x v="42"/>
    <s v="acurley1b@hao123.com"/>
    <x v="0"/>
    <x v="2"/>
    <s v="L"/>
    <x v="3"/>
    <n v="3.8849999999999998"/>
    <n v="7.77"/>
    <x v="2"/>
    <x v="1"/>
    <x v="0"/>
  </r>
  <r>
    <s v="DBU-81099-586"/>
    <x v="40"/>
    <x v="43"/>
    <s v="A-D-2.5"/>
    <n v="4"/>
    <x v="43"/>
    <s v="rmcgilvary1c@tamu.edu"/>
    <x v="0"/>
    <x v="2"/>
    <s v="D"/>
    <x v="2"/>
    <n v="22.884999999999998"/>
    <n v="91.539999999999992"/>
    <x v="2"/>
    <x v="2"/>
    <x v="1"/>
  </r>
  <r>
    <s v="PQA-54820-810"/>
    <x v="41"/>
    <x v="44"/>
    <s v="A-L-1"/>
    <n v="3"/>
    <x v="44"/>
    <s v="ipikett1d@xinhuanet.com"/>
    <x v="0"/>
    <x v="2"/>
    <s v="L"/>
    <x v="0"/>
    <n v="12.95"/>
    <n v="38.849999999999994"/>
    <x v="2"/>
    <x v="1"/>
    <x v="1"/>
  </r>
  <r>
    <s v="XKB-41924-202"/>
    <x v="42"/>
    <x v="45"/>
    <s v="L-D-0.5"/>
    <n v="2"/>
    <x v="45"/>
    <s v="ibouldon1e@gizmodo.com"/>
    <x v="0"/>
    <x v="3"/>
    <s v="D"/>
    <x v="1"/>
    <n v="7.77"/>
    <n v="15.54"/>
    <x v="3"/>
    <x v="2"/>
    <x v="1"/>
  </r>
  <r>
    <s v="DWZ-69106-473"/>
    <x v="43"/>
    <x v="46"/>
    <s v="L-L-2.5"/>
    <n v="4"/>
    <x v="46"/>
    <s v="kflanders1f@over-blog.com"/>
    <x v="1"/>
    <x v="3"/>
    <s v="L"/>
    <x v="2"/>
    <n v="36.454999999999998"/>
    <n v="145.82"/>
    <x v="3"/>
    <x v="1"/>
    <x v="0"/>
  </r>
  <r>
    <s v="YHV-68700-050"/>
    <x v="44"/>
    <x v="47"/>
    <s v="R-M-0.5"/>
    <n v="5"/>
    <x v="47"/>
    <s v="hmattioli1g@webmd.com"/>
    <x v="2"/>
    <x v="0"/>
    <s v="M"/>
    <x v="1"/>
    <n v="5.97"/>
    <n v="29.849999999999998"/>
    <x v="0"/>
    <x v="0"/>
    <x v="1"/>
  </r>
  <r>
    <s v="YHV-68700-050"/>
    <x v="44"/>
    <x v="47"/>
    <s v="L-L-2.5"/>
    <n v="2"/>
    <x v="47"/>
    <s v="hmattioli1g@webmd.com"/>
    <x v="2"/>
    <x v="3"/>
    <s v="L"/>
    <x v="2"/>
    <n v="36.454999999999998"/>
    <n v="72.91"/>
    <x v="3"/>
    <x v="1"/>
    <x v="1"/>
  </r>
  <r>
    <s v="KRB-88066-642"/>
    <x v="45"/>
    <x v="48"/>
    <s v="L-M-1"/>
    <n v="5"/>
    <x v="48"/>
    <s v="agillard1i@issuu.com"/>
    <x v="0"/>
    <x v="3"/>
    <s v="M"/>
    <x v="0"/>
    <n v="14.55"/>
    <n v="72.75"/>
    <x v="3"/>
    <x v="0"/>
    <x v="1"/>
  </r>
  <r>
    <s v="LQU-08404-173"/>
    <x v="46"/>
    <x v="49"/>
    <s v="L-L-1"/>
    <n v="3"/>
    <x v="49"/>
    <s v=""/>
    <x v="0"/>
    <x v="3"/>
    <s v="L"/>
    <x v="0"/>
    <n v="15.85"/>
    <n v="47.55"/>
    <x v="3"/>
    <x v="1"/>
    <x v="1"/>
  </r>
  <r>
    <s v="CWK-60159-881"/>
    <x v="47"/>
    <x v="50"/>
    <s v="E-D-0.2"/>
    <n v="3"/>
    <x v="50"/>
    <s v="tgrizard1k@odnoklassniki.ru"/>
    <x v="0"/>
    <x v="1"/>
    <s v="D"/>
    <x v="3"/>
    <n v="3.645"/>
    <n v="10.935"/>
    <x v="1"/>
    <x v="2"/>
    <x v="0"/>
  </r>
  <r>
    <s v="EEG-74197-843"/>
    <x v="48"/>
    <x v="51"/>
    <s v="E-L-1"/>
    <n v="4"/>
    <x v="51"/>
    <s v="rrelton1l@stanford.edu"/>
    <x v="0"/>
    <x v="1"/>
    <s v="L"/>
    <x v="0"/>
    <n v="14.85"/>
    <n v="59.4"/>
    <x v="1"/>
    <x v="1"/>
    <x v="1"/>
  </r>
  <r>
    <s v="UCZ-59708-525"/>
    <x v="49"/>
    <x v="52"/>
    <s v="L-D-2.5"/>
    <n v="3"/>
    <x v="52"/>
    <s v=""/>
    <x v="0"/>
    <x v="3"/>
    <s v="D"/>
    <x v="2"/>
    <n v="29.784999999999997"/>
    <n v="89.35499999999999"/>
    <x v="3"/>
    <x v="2"/>
    <x v="0"/>
  </r>
  <r>
    <s v="HUB-47311-849"/>
    <x v="50"/>
    <x v="53"/>
    <s v="L-M-0.5"/>
    <n v="3"/>
    <x v="53"/>
    <s v="sgilroy1n@eepurl.com"/>
    <x v="0"/>
    <x v="3"/>
    <s v="M"/>
    <x v="1"/>
    <n v="8.73"/>
    <n v="26.19"/>
    <x v="3"/>
    <x v="0"/>
    <x v="0"/>
  </r>
  <r>
    <s v="WYM-17686-694"/>
    <x v="51"/>
    <x v="54"/>
    <s v="A-D-2.5"/>
    <n v="5"/>
    <x v="54"/>
    <s v="ccottingham1o@wikipedia.org"/>
    <x v="0"/>
    <x v="2"/>
    <s v="D"/>
    <x v="2"/>
    <n v="22.884999999999998"/>
    <n v="114.42499999999998"/>
    <x v="2"/>
    <x v="2"/>
    <x v="1"/>
  </r>
  <r>
    <s v="ZYQ-15797-695"/>
    <x v="52"/>
    <x v="55"/>
    <s v="R-D-0.5"/>
    <n v="5"/>
    <x v="55"/>
    <s v=""/>
    <x v="2"/>
    <x v="0"/>
    <s v="D"/>
    <x v="1"/>
    <n v="5.3699999999999992"/>
    <n v="26.849999999999994"/>
    <x v="0"/>
    <x v="2"/>
    <x v="0"/>
  </r>
  <r>
    <s v="EEJ-16185-108"/>
    <x v="53"/>
    <x v="56"/>
    <s v="L-L-0.2"/>
    <n v="5"/>
    <x v="56"/>
    <s v=""/>
    <x v="0"/>
    <x v="3"/>
    <s v="L"/>
    <x v="3"/>
    <n v="4.7549999999999999"/>
    <n v="23.774999999999999"/>
    <x v="3"/>
    <x v="1"/>
    <x v="0"/>
  </r>
  <r>
    <s v="RWR-77888-800"/>
    <x v="54"/>
    <x v="57"/>
    <s v="A-M-0.5"/>
    <n v="1"/>
    <x v="57"/>
    <s v="adykes1r@eventbrite.com"/>
    <x v="0"/>
    <x v="2"/>
    <s v="M"/>
    <x v="1"/>
    <n v="6.75"/>
    <n v="6.75"/>
    <x v="2"/>
    <x v="0"/>
    <x v="1"/>
  </r>
  <r>
    <s v="LHN-75209-742"/>
    <x v="55"/>
    <x v="58"/>
    <s v="R-M-0.5"/>
    <n v="6"/>
    <x v="58"/>
    <s v=""/>
    <x v="0"/>
    <x v="0"/>
    <s v="M"/>
    <x v="1"/>
    <n v="5.97"/>
    <n v="35.82"/>
    <x v="0"/>
    <x v="0"/>
    <x v="0"/>
  </r>
  <r>
    <s v="TIR-71396-998"/>
    <x v="56"/>
    <x v="59"/>
    <s v="R-D-2.5"/>
    <n v="4"/>
    <x v="59"/>
    <s v="acockrem1t@engadget.com"/>
    <x v="0"/>
    <x v="0"/>
    <s v="D"/>
    <x v="2"/>
    <n v="20.584999999999997"/>
    <n v="82.339999999999989"/>
    <x v="0"/>
    <x v="2"/>
    <x v="0"/>
  </r>
  <r>
    <s v="RXF-37618-213"/>
    <x v="57"/>
    <x v="60"/>
    <s v="R-L-0.5"/>
    <n v="1"/>
    <x v="60"/>
    <s v="bumpleby1u@soundcloud.com"/>
    <x v="0"/>
    <x v="0"/>
    <s v="L"/>
    <x v="1"/>
    <n v="7.169999999999999"/>
    <n v="7.169999999999999"/>
    <x v="0"/>
    <x v="1"/>
    <x v="0"/>
  </r>
  <r>
    <s v="ANM-16388-634"/>
    <x v="58"/>
    <x v="61"/>
    <s v="L-L-0.2"/>
    <n v="2"/>
    <x v="61"/>
    <s v="nsaleway1v@dedecms.com"/>
    <x v="0"/>
    <x v="3"/>
    <s v="L"/>
    <x v="3"/>
    <n v="4.7549999999999999"/>
    <n v="9.51"/>
    <x v="3"/>
    <x v="1"/>
    <x v="1"/>
  </r>
  <r>
    <s v="WYL-29300-070"/>
    <x v="59"/>
    <x v="62"/>
    <s v="R-M-0.2"/>
    <n v="1"/>
    <x v="62"/>
    <s v="hgoulter1w@abc.net.au"/>
    <x v="0"/>
    <x v="0"/>
    <s v="M"/>
    <x v="3"/>
    <n v="2.9849999999999999"/>
    <n v="2.9849999999999999"/>
    <x v="0"/>
    <x v="0"/>
    <x v="1"/>
  </r>
  <r>
    <s v="JHW-74554-805"/>
    <x v="60"/>
    <x v="63"/>
    <s v="R-M-1"/>
    <n v="6"/>
    <x v="63"/>
    <s v="grizzello1x@symantec.com"/>
    <x v="2"/>
    <x v="0"/>
    <s v="M"/>
    <x v="0"/>
    <n v="9.9499999999999993"/>
    <n v="59.699999999999996"/>
    <x v="0"/>
    <x v="0"/>
    <x v="0"/>
  </r>
  <r>
    <s v="KYS-27063-603"/>
    <x v="61"/>
    <x v="64"/>
    <s v="E-L-2.5"/>
    <n v="4"/>
    <x v="64"/>
    <s v="slist1y@mapquest.com"/>
    <x v="0"/>
    <x v="1"/>
    <s v="L"/>
    <x v="2"/>
    <n v="34.154999999999994"/>
    <n v="136.61999999999998"/>
    <x v="1"/>
    <x v="1"/>
    <x v="1"/>
  </r>
  <r>
    <s v="GAZ-58626-277"/>
    <x v="62"/>
    <x v="65"/>
    <s v="L-L-0.2"/>
    <n v="2"/>
    <x v="65"/>
    <s v="sedmondson1z@theguardian.com"/>
    <x v="1"/>
    <x v="3"/>
    <s v="L"/>
    <x v="3"/>
    <n v="4.7549999999999999"/>
    <n v="9.51"/>
    <x v="3"/>
    <x v="1"/>
    <x v="1"/>
  </r>
  <r>
    <s v="RPJ-37787-335"/>
    <x v="63"/>
    <x v="66"/>
    <s v="A-M-2.5"/>
    <n v="3"/>
    <x v="66"/>
    <s v=""/>
    <x v="0"/>
    <x v="2"/>
    <s v="M"/>
    <x v="2"/>
    <n v="25.874999999999996"/>
    <n v="77.624999999999986"/>
    <x v="2"/>
    <x v="0"/>
    <x v="1"/>
  </r>
  <r>
    <s v="LEF-83057-763"/>
    <x v="64"/>
    <x v="67"/>
    <s v="L-M-0.2"/>
    <n v="5"/>
    <x v="67"/>
    <s v=""/>
    <x v="0"/>
    <x v="3"/>
    <s v="M"/>
    <x v="3"/>
    <n v="4.3650000000000002"/>
    <n v="21.825000000000003"/>
    <x v="3"/>
    <x v="0"/>
    <x v="0"/>
  </r>
  <r>
    <s v="RPW-36123-215"/>
    <x v="65"/>
    <x v="68"/>
    <s v="E-L-0.5"/>
    <n v="2"/>
    <x v="68"/>
    <s v="jrangall22@newsvine.com"/>
    <x v="0"/>
    <x v="1"/>
    <s v="L"/>
    <x v="1"/>
    <n v="8.91"/>
    <n v="17.82"/>
    <x v="1"/>
    <x v="1"/>
    <x v="0"/>
  </r>
  <r>
    <s v="WLL-59044-117"/>
    <x v="66"/>
    <x v="69"/>
    <s v="R-D-1"/>
    <n v="6"/>
    <x v="69"/>
    <s v="kboorn23@ezinearticles.com"/>
    <x v="1"/>
    <x v="0"/>
    <s v="D"/>
    <x v="0"/>
    <n v="8.9499999999999993"/>
    <n v="53.699999999999996"/>
    <x v="0"/>
    <x v="2"/>
    <x v="0"/>
  </r>
  <r>
    <s v="AWT-22827-563"/>
    <x v="67"/>
    <x v="70"/>
    <s v="R-L-0.2"/>
    <n v="1"/>
    <x v="70"/>
    <s v=""/>
    <x v="1"/>
    <x v="0"/>
    <s v="L"/>
    <x v="3"/>
    <n v="3.5849999999999995"/>
    <n v="3.5849999999999995"/>
    <x v="0"/>
    <x v="1"/>
    <x v="0"/>
  </r>
  <r>
    <s v="QLM-07145-668"/>
    <x v="68"/>
    <x v="71"/>
    <s v="E-D-0.2"/>
    <n v="2"/>
    <x v="71"/>
    <s v="celgey25@webs.com"/>
    <x v="0"/>
    <x v="1"/>
    <s v="D"/>
    <x v="3"/>
    <n v="3.645"/>
    <n v="7.29"/>
    <x v="1"/>
    <x v="2"/>
    <x v="1"/>
  </r>
  <r>
    <s v="HVQ-64398-930"/>
    <x v="69"/>
    <x v="72"/>
    <s v="A-M-0.5"/>
    <n v="6"/>
    <x v="72"/>
    <s v="lmizzi26@rakuten.co.jp"/>
    <x v="0"/>
    <x v="2"/>
    <s v="M"/>
    <x v="1"/>
    <n v="6.75"/>
    <n v="40.5"/>
    <x v="2"/>
    <x v="0"/>
    <x v="0"/>
  </r>
  <r>
    <s v="WRT-40778-247"/>
    <x v="70"/>
    <x v="73"/>
    <s v="R-L-1"/>
    <n v="4"/>
    <x v="73"/>
    <s v="cgiacomazzo27@jigsy.com"/>
    <x v="0"/>
    <x v="0"/>
    <s v="L"/>
    <x v="0"/>
    <n v="11.95"/>
    <n v="47.8"/>
    <x v="0"/>
    <x v="1"/>
    <x v="1"/>
  </r>
  <r>
    <s v="SUB-13006-125"/>
    <x v="71"/>
    <x v="74"/>
    <s v="A-L-0.5"/>
    <n v="5"/>
    <x v="74"/>
    <s v="aarnow28@arizona.edu"/>
    <x v="0"/>
    <x v="2"/>
    <s v="L"/>
    <x v="1"/>
    <n v="7.77"/>
    <n v="38.849999999999994"/>
    <x v="2"/>
    <x v="1"/>
    <x v="0"/>
  </r>
  <r>
    <s v="CQM-49696-263"/>
    <x v="72"/>
    <x v="75"/>
    <s v="L-L-2.5"/>
    <n v="3"/>
    <x v="75"/>
    <s v="syann29@senate.gov"/>
    <x v="0"/>
    <x v="3"/>
    <s v="L"/>
    <x v="2"/>
    <n v="36.454999999999998"/>
    <n v="109.36499999999999"/>
    <x v="3"/>
    <x v="1"/>
    <x v="0"/>
  </r>
  <r>
    <s v="KXN-85094-246"/>
    <x v="73"/>
    <x v="76"/>
    <s v="L-M-2.5"/>
    <n v="3"/>
    <x v="76"/>
    <s v="bnaulls2a@tiny.cc"/>
    <x v="1"/>
    <x v="3"/>
    <s v="M"/>
    <x v="2"/>
    <n v="33.464999999999996"/>
    <n v="100.39499999999998"/>
    <x v="3"/>
    <x v="0"/>
    <x v="0"/>
  </r>
  <r>
    <s v="XOQ-12405-419"/>
    <x v="74"/>
    <x v="77"/>
    <s v="R-D-2.5"/>
    <n v="4"/>
    <x v="77"/>
    <s v=""/>
    <x v="0"/>
    <x v="0"/>
    <s v="D"/>
    <x v="2"/>
    <n v="20.584999999999997"/>
    <n v="82.339999999999989"/>
    <x v="0"/>
    <x v="2"/>
    <x v="0"/>
  </r>
  <r>
    <s v="HYF-10254-369"/>
    <x v="75"/>
    <x v="78"/>
    <s v="L-L-0.5"/>
    <n v="1"/>
    <x v="78"/>
    <s v="zsherewood2c@apache.org"/>
    <x v="0"/>
    <x v="3"/>
    <s v="L"/>
    <x v="1"/>
    <n v="9.51"/>
    <n v="9.51"/>
    <x v="3"/>
    <x v="1"/>
    <x v="1"/>
  </r>
  <r>
    <s v="XXJ-47000-307"/>
    <x v="76"/>
    <x v="79"/>
    <s v="A-L-2.5"/>
    <n v="3"/>
    <x v="79"/>
    <s v="jdufaire2d@fc2.com"/>
    <x v="0"/>
    <x v="2"/>
    <s v="L"/>
    <x v="2"/>
    <n v="29.784999999999997"/>
    <n v="89.35499999999999"/>
    <x v="2"/>
    <x v="1"/>
    <x v="1"/>
  </r>
  <r>
    <s v="XXJ-47000-307"/>
    <x v="76"/>
    <x v="79"/>
    <s v="A-D-0.2"/>
    <n v="4"/>
    <x v="79"/>
    <s v="jdufaire2d@fc2.com"/>
    <x v="0"/>
    <x v="2"/>
    <s v="D"/>
    <x v="3"/>
    <n v="2.9849999999999999"/>
    <n v="11.94"/>
    <x v="2"/>
    <x v="2"/>
    <x v="1"/>
  </r>
  <r>
    <s v="ZDK-82166-357"/>
    <x v="77"/>
    <x v="80"/>
    <s v="A-M-1"/>
    <n v="3"/>
    <x v="80"/>
    <s v="bkeaveney2f@netlog.com"/>
    <x v="0"/>
    <x v="2"/>
    <s v="M"/>
    <x v="0"/>
    <n v="11.25"/>
    <n v="33.75"/>
    <x v="2"/>
    <x v="0"/>
    <x v="1"/>
  </r>
  <r>
    <s v="IHN-19982-362"/>
    <x v="78"/>
    <x v="81"/>
    <s v="R-L-1"/>
    <n v="3"/>
    <x v="81"/>
    <s v="egrise2g@cargocollective.com"/>
    <x v="0"/>
    <x v="0"/>
    <s v="L"/>
    <x v="0"/>
    <n v="11.95"/>
    <n v="35.849999999999994"/>
    <x v="0"/>
    <x v="1"/>
    <x v="1"/>
  </r>
  <r>
    <s v="VMT-10030-889"/>
    <x v="79"/>
    <x v="82"/>
    <s v="A-L-1"/>
    <n v="6"/>
    <x v="82"/>
    <s v="tgottelier2h@vistaprint.com"/>
    <x v="0"/>
    <x v="2"/>
    <s v="L"/>
    <x v="0"/>
    <n v="12.95"/>
    <n v="77.699999999999989"/>
    <x v="2"/>
    <x v="1"/>
    <x v="1"/>
  </r>
  <r>
    <s v="NHL-11063-100"/>
    <x v="80"/>
    <x v="83"/>
    <s v="A-L-1"/>
    <n v="4"/>
    <x v="83"/>
    <s v=""/>
    <x v="1"/>
    <x v="2"/>
    <s v="L"/>
    <x v="0"/>
    <n v="12.95"/>
    <n v="51.8"/>
    <x v="2"/>
    <x v="1"/>
    <x v="0"/>
  </r>
  <r>
    <s v="ROV-87448-086"/>
    <x v="81"/>
    <x v="84"/>
    <s v="A-M-2.5"/>
    <n v="4"/>
    <x v="84"/>
    <s v="agreenhead2j@dailymail.co.uk"/>
    <x v="0"/>
    <x v="2"/>
    <s v="M"/>
    <x v="2"/>
    <n v="25.874999999999996"/>
    <n v="103.49999999999999"/>
    <x v="2"/>
    <x v="0"/>
    <x v="1"/>
  </r>
  <r>
    <s v="DGY-35773-612"/>
    <x v="82"/>
    <x v="85"/>
    <s v="E-L-1"/>
    <n v="3"/>
    <x v="85"/>
    <s v=""/>
    <x v="0"/>
    <x v="1"/>
    <s v="L"/>
    <x v="0"/>
    <n v="14.85"/>
    <n v="44.55"/>
    <x v="1"/>
    <x v="1"/>
    <x v="0"/>
  </r>
  <r>
    <s v="YWH-50638-556"/>
    <x v="83"/>
    <x v="86"/>
    <s v="E-L-0.5"/>
    <n v="4"/>
    <x v="86"/>
    <s v="elangcaster2l@spotify.com"/>
    <x v="2"/>
    <x v="1"/>
    <s v="L"/>
    <x v="1"/>
    <n v="8.91"/>
    <n v="35.64"/>
    <x v="1"/>
    <x v="1"/>
    <x v="0"/>
  </r>
  <r>
    <s v="ISL-11200-600"/>
    <x v="84"/>
    <x v="87"/>
    <s v="A-D-0.2"/>
    <n v="6"/>
    <x v="87"/>
    <s v=""/>
    <x v="1"/>
    <x v="2"/>
    <s v="D"/>
    <x v="3"/>
    <n v="2.9849999999999999"/>
    <n v="17.91"/>
    <x v="2"/>
    <x v="2"/>
    <x v="0"/>
  </r>
  <r>
    <s v="LBZ-75997-047"/>
    <x v="85"/>
    <x v="88"/>
    <s v="A-M-2.5"/>
    <n v="6"/>
    <x v="88"/>
    <s v="nmagauran2n@51.la"/>
    <x v="0"/>
    <x v="2"/>
    <s v="M"/>
    <x v="2"/>
    <n v="25.874999999999996"/>
    <n v="155.24999999999997"/>
    <x v="2"/>
    <x v="0"/>
    <x v="1"/>
  </r>
  <r>
    <s v="EUH-08089-954"/>
    <x v="86"/>
    <x v="89"/>
    <s v="A-D-0.2"/>
    <n v="2"/>
    <x v="89"/>
    <s v="vkirdsch2o@google.fr"/>
    <x v="0"/>
    <x v="2"/>
    <s v="D"/>
    <x v="3"/>
    <n v="2.9849999999999999"/>
    <n v="5.97"/>
    <x v="2"/>
    <x v="2"/>
    <x v="1"/>
  </r>
  <r>
    <s v="BLD-12227-251"/>
    <x v="87"/>
    <x v="90"/>
    <s v="A-M-0.5"/>
    <n v="2"/>
    <x v="90"/>
    <s v="iwhapple2p@com.com"/>
    <x v="0"/>
    <x v="2"/>
    <s v="M"/>
    <x v="1"/>
    <n v="6.75"/>
    <n v="13.5"/>
    <x v="2"/>
    <x v="0"/>
    <x v="1"/>
  </r>
  <r>
    <s v="OPY-30711-853"/>
    <x v="25"/>
    <x v="91"/>
    <s v="A-D-0.2"/>
    <n v="1"/>
    <x v="91"/>
    <s v=""/>
    <x v="1"/>
    <x v="2"/>
    <s v="D"/>
    <x v="3"/>
    <n v="2.9849999999999999"/>
    <n v="2.9849999999999999"/>
    <x v="2"/>
    <x v="2"/>
    <x v="1"/>
  </r>
  <r>
    <s v="DBC-44122-300"/>
    <x v="88"/>
    <x v="92"/>
    <s v="L-M-0.2"/>
    <n v="3"/>
    <x v="92"/>
    <s v=""/>
    <x v="0"/>
    <x v="3"/>
    <s v="M"/>
    <x v="3"/>
    <n v="4.3650000000000002"/>
    <n v="13.095000000000001"/>
    <x v="3"/>
    <x v="0"/>
    <x v="0"/>
  </r>
  <r>
    <s v="FJQ-60035-234"/>
    <x v="89"/>
    <x v="93"/>
    <s v="A-L-0.2"/>
    <n v="2"/>
    <x v="93"/>
    <s v=""/>
    <x v="0"/>
    <x v="2"/>
    <s v="L"/>
    <x v="3"/>
    <n v="3.8849999999999998"/>
    <n v="7.77"/>
    <x v="2"/>
    <x v="1"/>
    <x v="0"/>
  </r>
  <r>
    <s v="HSF-66926-425"/>
    <x v="90"/>
    <x v="94"/>
    <s v="L-D-2.5"/>
    <n v="5"/>
    <x v="94"/>
    <s v="nyoules2t@reference.com"/>
    <x v="1"/>
    <x v="3"/>
    <s v="D"/>
    <x v="2"/>
    <n v="29.784999999999997"/>
    <n v="148.92499999999998"/>
    <x v="3"/>
    <x v="2"/>
    <x v="0"/>
  </r>
  <r>
    <s v="LQG-41416-375"/>
    <x v="91"/>
    <x v="95"/>
    <s v="L-D-1"/>
    <n v="3"/>
    <x v="95"/>
    <s v="daizikovitz2u@answers.com"/>
    <x v="1"/>
    <x v="3"/>
    <s v="D"/>
    <x v="0"/>
    <n v="12.95"/>
    <n v="38.849999999999994"/>
    <x v="3"/>
    <x v="2"/>
    <x v="0"/>
  </r>
  <r>
    <s v="VZO-97265-841"/>
    <x v="92"/>
    <x v="96"/>
    <s v="R-M-0.2"/>
    <n v="4"/>
    <x v="96"/>
    <s v="brevel2v@fastcompany.com"/>
    <x v="0"/>
    <x v="0"/>
    <s v="M"/>
    <x v="3"/>
    <n v="2.9849999999999999"/>
    <n v="11.94"/>
    <x v="0"/>
    <x v="0"/>
    <x v="1"/>
  </r>
  <r>
    <s v="MOR-12987-399"/>
    <x v="93"/>
    <x v="97"/>
    <s v="L-M-1"/>
    <n v="6"/>
    <x v="97"/>
    <s v="epriddis2w@nationalgeographic.com"/>
    <x v="0"/>
    <x v="3"/>
    <s v="M"/>
    <x v="0"/>
    <n v="14.55"/>
    <n v="87.300000000000011"/>
    <x v="3"/>
    <x v="0"/>
    <x v="1"/>
  </r>
  <r>
    <s v="UOA-23786-489"/>
    <x v="94"/>
    <x v="98"/>
    <s v="A-M-0.5"/>
    <n v="6"/>
    <x v="98"/>
    <s v="qveel2x@jugem.jp"/>
    <x v="0"/>
    <x v="2"/>
    <s v="M"/>
    <x v="1"/>
    <n v="6.75"/>
    <n v="40.5"/>
    <x v="2"/>
    <x v="0"/>
    <x v="0"/>
  </r>
  <r>
    <s v="AJL-52941-018"/>
    <x v="95"/>
    <x v="99"/>
    <s v="E-D-1"/>
    <n v="2"/>
    <x v="99"/>
    <s v="lconyers2y@twitter.com"/>
    <x v="0"/>
    <x v="1"/>
    <s v="D"/>
    <x v="0"/>
    <n v="12.15"/>
    <n v="24.3"/>
    <x v="1"/>
    <x v="2"/>
    <x v="1"/>
  </r>
  <r>
    <s v="XSZ-84273-421"/>
    <x v="96"/>
    <x v="100"/>
    <s v="R-M-0.5"/>
    <n v="3"/>
    <x v="100"/>
    <s v="pwye2z@dagondesign.com"/>
    <x v="0"/>
    <x v="0"/>
    <s v="M"/>
    <x v="1"/>
    <n v="5.97"/>
    <n v="17.91"/>
    <x v="0"/>
    <x v="0"/>
    <x v="0"/>
  </r>
  <r>
    <s v="NUN-48214-216"/>
    <x v="97"/>
    <x v="101"/>
    <s v="A-M-0.5"/>
    <n v="4"/>
    <x v="101"/>
    <s v=""/>
    <x v="0"/>
    <x v="2"/>
    <s v="M"/>
    <x v="1"/>
    <n v="6.75"/>
    <n v="27"/>
    <x v="2"/>
    <x v="0"/>
    <x v="1"/>
  </r>
  <r>
    <s v="AKV-93064-769"/>
    <x v="98"/>
    <x v="102"/>
    <s v="L-D-0.5"/>
    <n v="1"/>
    <x v="102"/>
    <s v="tsheryn31@mtv.com"/>
    <x v="0"/>
    <x v="3"/>
    <s v="D"/>
    <x v="1"/>
    <n v="7.77"/>
    <n v="7.77"/>
    <x v="3"/>
    <x v="2"/>
    <x v="0"/>
  </r>
  <r>
    <s v="BRB-40903-533"/>
    <x v="99"/>
    <x v="103"/>
    <s v="E-L-0.2"/>
    <n v="3"/>
    <x v="103"/>
    <s v="mredgrave32@cargocollective.com"/>
    <x v="0"/>
    <x v="1"/>
    <s v="L"/>
    <x v="3"/>
    <n v="4.4550000000000001"/>
    <n v="13.365"/>
    <x v="1"/>
    <x v="1"/>
    <x v="0"/>
  </r>
  <r>
    <s v="GPR-19973-483"/>
    <x v="100"/>
    <x v="104"/>
    <s v="R-D-0.5"/>
    <n v="5"/>
    <x v="104"/>
    <s v="bfominov33@yale.edu"/>
    <x v="0"/>
    <x v="0"/>
    <s v="D"/>
    <x v="1"/>
    <n v="5.3699999999999992"/>
    <n v="26.849999999999994"/>
    <x v="0"/>
    <x v="2"/>
    <x v="1"/>
  </r>
  <r>
    <s v="XIY-43041-882"/>
    <x v="101"/>
    <x v="105"/>
    <s v="A-M-1"/>
    <n v="1"/>
    <x v="105"/>
    <s v="scritchlow34@un.org"/>
    <x v="0"/>
    <x v="2"/>
    <s v="M"/>
    <x v="0"/>
    <n v="11.25"/>
    <n v="11.25"/>
    <x v="2"/>
    <x v="0"/>
    <x v="1"/>
  </r>
  <r>
    <s v="YGY-98425-969"/>
    <x v="102"/>
    <x v="106"/>
    <s v="L-M-1"/>
    <n v="1"/>
    <x v="106"/>
    <s v="msteptow35@earthlink.net"/>
    <x v="1"/>
    <x v="3"/>
    <s v="M"/>
    <x v="0"/>
    <n v="14.55"/>
    <n v="14.55"/>
    <x v="3"/>
    <x v="0"/>
    <x v="1"/>
  </r>
  <r>
    <s v="MSB-08397-648"/>
    <x v="103"/>
    <x v="107"/>
    <s v="R-L-0.2"/>
    <n v="4"/>
    <x v="107"/>
    <s v=""/>
    <x v="0"/>
    <x v="0"/>
    <s v="L"/>
    <x v="3"/>
    <n v="3.5849999999999995"/>
    <n v="14.339999999999998"/>
    <x v="0"/>
    <x v="1"/>
    <x v="1"/>
  </r>
  <r>
    <s v="WDR-06028-345"/>
    <x v="104"/>
    <x v="108"/>
    <s v="L-L-1"/>
    <n v="1"/>
    <x v="108"/>
    <s v="imulliner37@pinterest.com"/>
    <x v="2"/>
    <x v="3"/>
    <s v="L"/>
    <x v="0"/>
    <n v="15.85"/>
    <n v="15.85"/>
    <x v="3"/>
    <x v="1"/>
    <x v="1"/>
  </r>
  <r>
    <s v="MXM-42948-061"/>
    <x v="105"/>
    <x v="109"/>
    <s v="L-L-0.2"/>
    <n v="4"/>
    <x v="109"/>
    <s v="gstandley38@dion.ne.jp"/>
    <x v="1"/>
    <x v="3"/>
    <s v="L"/>
    <x v="3"/>
    <n v="4.7549999999999999"/>
    <n v="19.02"/>
    <x v="3"/>
    <x v="1"/>
    <x v="0"/>
  </r>
  <r>
    <s v="MGQ-98961-173"/>
    <x v="11"/>
    <x v="110"/>
    <s v="L-L-0.5"/>
    <n v="4"/>
    <x v="110"/>
    <s v="bdrage39@youku.com"/>
    <x v="0"/>
    <x v="3"/>
    <s v="L"/>
    <x v="1"/>
    <n v="9.51"/>
    <n v="38.04"/>
    <x v="3"/>
    <x v="1"/>
    <x v="1"/>
  </r>
  <r>
    <s v="RFH-64349-897"/>
    <x v="106"/>
    <x v="111"/>
    <s v="E-D-0.5"/>
    <n v="3"/>
    <x v="111"/>
    <s v="myallop3a@fema.gov"/>
    <x v="0"/>
    <x v="1"/>
    <s v="D"/>
    <x v="1"/>
    <n v="7.29"/>
    <n v="21.87"/>
    <x v="1"/>
    <x v="2"/>
    <x v="0"/>
  </r>
  <r>
    <s v="TKL-20738-660"/>
    <x v="107"/>
    <x v="112"/>
    <s v="E-M-0.2"/>
    <n v="1"/>
    <x v="112"/>
    <s v="cswitsur3b@chronoengine.com"/>
    <x v="0"/>
    <x v="1"/>
    <s v="M"/>
    <x v="3"/>
    <n v="4.125"/>
    <n v="4.125"/>
    <x v="1"/>
    <x v="0"/>
    <x v="1"/>
  </r>
  <r>
    <s v="TKL-20738-660"/>
    <x v="107"/>
    <x v="112"/>
    <s v="A-L-0.2"/>
    <n v="1"/>
    <x v="112"/>
    <s v="cswitsur3b@chronoengine.com"/>
    <x v="0"/>
    <x v="2"/>
    <s v="L"/>
    <x v="3"/>
    <n v="3.8849999999999998"/>
    <n v="3.8849999999999998"/>
    <x v="2"/>
    <x v="1"/>
    <x v="1"/>
  </r>
  <r>
    <s v="TKL-20738-660"/>
    <x v="107"/>
    <x v="112"/>
    <s v="E-M-1"/>
    <n v="5"/>
    <x v="112"/>
    <s v="cswitsur3b@chronoengine.com"/>
    <x v="0"/>
    <x v="1"/>
    <s v="M"/>
    <x v="0"/>
    <n v="13.75"/>
    <n v="68.75"/>
    <x v="1"/>
    <x v="0"/>
    <x v="1"/>
  </r>
  <r>
    <s v="GOW-03198-575"/>
    <x v="108"/>
    <x v="113"/>
    <s v="A-D-0.5"/>
    <n v="4"/>
    <x v="113"/>
    <s v="mludwell3e@blogger.com"/>
    <x v="0"/>
    <x v="2"/>
    <s v="D"/>
    <x v="1"/>
    <n v="5.97"/>
    <n v="23.88"/>
    <x v="2"/>
    <x v="2"/>
    <x v="0"/>
  </r>
  <r>
    <s v="QJB-90477-635"/>
    <x v="109"/>
    <x v="114"/>
    <s v="L-L-2.5"/>
    <n v="4"/>
    <x v="114"/>
    <s v="dbeauchamp3f@usda.gov"/>
    <x v="0"/>
    <x v="3"/>
    <s v="L"/>
    <x v="2"/>
    <n v="36.454999999999998"/>
    <n v="145.82"/>
    <x v="3"/>
    <x v="1"/>
    <x v="1"/>
  </r>
  <r>
    <s v="MWP-46239-785"/>
    <x v="110"/>
    <x v="115"/>
    <s v="L-M-0.2"/>
    <n v="5"/>
    <x v="115"/>
    <s v="srodliff3g@ted.com"/>
    <x v="0"/>
    <x v="3"/>
    <s v="M"/>
    <x v="3"/>
    <n v="4.3650000000000002"/>
    <n v="21.825000000000003"/>
    <x v="3"/>
    <x v="0"/>
    <x v="0"/>
  </r>
  <r>
    <s v="QDV-03406-248"/>
    <x v="111"/>
    <x v="116"/>
    <s v="L-M-0.5"/>
    <n v="3"/>
    <x v="116"/>
    <s v="swoodham3h@businesswire.com"/>
    <x v="1"/>
    <x v="3"/>
    <s v="M"/>
    <x v="1"/>
    <n v="8.73"/>
    <n v="26.19"/>
    <x v="3"/>
    <x v="0"/>
    <x v="0"/>
  </r>
  <r>
    <s v="GPH-40635-105"/>
    <x v="112"/>
    <x v="117"/>
    <s v="A-M-1"/>
    <n v="1"/>
    <x v="117"/>
    <s v="hsynnot3i@about.com"/>
    <x v="0"/>
    <x v="2"/>
    <s v="M"/>
    <x v="0"/>
    <n v="11.25"/>
    <n v="11.25"/>
    <x v="2"/>
    <x v="0"/>
    <x v="1"/>
  </r>
  <r>
    <s v="JOM-80930-071"/>
    <x v="113"/>
    <x v="118"/>
    <s v="L-D-1"/>
    <n v="6"/>
    <x v="118"/>
    <s v="rlepere3j@shop-pro.jp"/>
    <x v="1"/>
    <x v="3"/>
    <s v="D"/>
    <x v="0"/>
    <n v="12.95"/>
    <n v="77.699999999999989"/>
    <x v="3"/>
    <x v="2"/>
    <x v="1"/>
  </r>
  <r>
    <s v="OIL-26493-755"/>
    <x v="114"/>
    <x v="119"/>
    <s v="A-M-0.5"/>
    <n v="1"/>
    <x v="119"/>
    <s v="twoofinden3k@businesswire.com"/>
    <x v="0"/>
    <x v="2"/>
    <s v="M"/>
    <x v="1"/>
    <n v="6.75"/>
    <n v="6.75"/>
    <x v="2"/>
    <x v="0"/>
    <x v="1"/>
  </r>
  <r>
    <s v="CYV-13426-645"/>
    <x v="115"/>
    <x v="120"/>
    <s v="E-D-1"/>
    <n v="1"/>
    <x v="120"/>
    <s v="edacca3l@google.pl"/>
    <x v="0"/>
    <x v="1"/>
    <s v="D"/>
    <x v="0"/>
    <n v="12.15"/>
    <n v="12.15"/>
    <x v="1"/>
    <x v="2"/>
    <x v="0"/>
  </r>
  <r>
    <s v="WRP-39846-614"/>
    <x v="49"/>
    <x v="121"/>
    <s v="A-L-2.5"/>
    <n v="5"/>
    <x v="121"/>
    <s v=""/>
    <x v="1"/>
    <x v="2"/>
    <s v="L"/>
    <x v="2"/>
    <n v="29.784999999999997"/>
    <n v="148.92499999999998"/>
    <x v="2"/>
    <x v="1"/>
    <x v="0"/>
  </r>
  <r>
    <s v="VDZ-76673-968"/>
    <x v="116"/>
    <x v="122"/>
    <s v="E-D-0.5"/>
    <n v="2"/>
    <x v="122"/>
    <s v="bhindsberg3n@blogs.com"/>
    <x v="0"/>
    <x v="1"/>
    <s v="D"/>
    <x v="1"/>
    <n v="7.29"/>
    <n v="14.58"/>
    <x v="1"/>
    <x v="2"/>
    <x v="0"/>
  </r>
  <r>
    <s v="VTV-03546-175"/>
    <x v="117"/>
    <x v="123"/>
    <s v="A-L-2.5"/>
    <n v="5"/>
    <x v="123"/>
    <s v="orobins3o@salon.com"/>
    <x v="0"/>
    <x v="2"/>
    <s v="L"/>
    <x v="2"/>
    <n v="29.784999999999997"/>
    <n v="148.92499999999998"/>
    <x v="2"/>
    <x v="1"/>
    <x v="0"/>
  </r>
  <r>
    <s v="GHR-72274-715"/>
    <x v="118"/>
    <x v="124"/>
    <s v="L-D-1"/>
    <n v="1"/>
    <x v="124"/>
    <s v="osyseland3p@independent.co.uk"/>
    <x v="0"/>
    <x v="3"/>
    <s v="D"/>
    <x v="0"/>
    <n v="12.95"/>
    <n v="12.95"/>
    <x v="3"/>
    <x v="2"/>
    <x v="1"/>
  </r>
  <r>
    <s v="ZGK-97262-313"/>
    <x v="119"/>
    <x v="125"/>
    <s v="E-M-2.5"/>
    <n v="3"/>
    <x v="125"/>
    <s v=""/>
    <x v="0"/>
    <x v="1"/>
    <s v="M"/>
    <x v="2"/>
    <n v="31.624999999999996"/>
    <n v="94.874999999999986"/>
    <x v="1"/>
    <x v="0"/>
    <x v="0"/>
  </r>
  <r>
    <s v="ZFS-30776-804"/>
    <x v="120"/>
    <x v="126"/>
    <s v="A-L-0.5"/>
    <n v="5"/>
    <x v="126"/>
    <s v="bmcamish2e@tripadvisor.com"/>
    <x v="0"/>
    <x v="2"/>
    <s v="L"/>
    <x v="1"/>
    <n v="7.77"/>
    <n v="38.849999999999994"/>
    <x v="2"/>
    <x v="1"/>
    <x v="0"/>
  </r>
  <r>
    <s v="QUU-91729-492"/>
    <x v="121"/>
    <x v="127"/>
    <s v="A-D-0.2"/>
    <n v="4"/>
    <x v="127"/>
    <s v="lkeenleyside3s@topsy.com"/>
    <x v="0"/>
    <x v="2"/>
    <s v="D"/>
    <x v="3"/>
    <n v="2.9849999999999999"/>
    <n v="11.94"/>
    <x v="2"/>
    <x v="2"/>
    <x v="1"/>
  </r>
  <r>
    <s v="PVI-72795-960"/>
    <x v="122"/>
    <x v="128"/>
    <s v="E-L-2.5"/>
    <n v="3"/>
    <x v="128"/>
    <s v=""/>
    <x v="1"/>
    <x v="1"/>
    <s v="L"/>
    <x v="2"/>
    <n v="34.154999999999994"/>
    <n v="102.46499999999997"/>
    <x v="1"/>
    <x v="1"/>
    <x v="1"/>
  </r>
  <r>
    <s v="PPP-78935-365"/>
    <x v="123"/>
    <x v="129"/>
    <s v="E-D-1"/>
    <n v="4"/>
    <x v="129"/>
    <s v=""/>
    <x v="0"/>
    <x v="1"/>
    <s v="D"/>
    <x v="0"/>
    <n v="12.15"/>
    <n v="48.6"/>
    <x v="1"/>
    <x v="2"/>
    <x v="1"/>
  </r>
  <r>
    <s v="JUO-34131-517"/>
    <x v="124"/>
    <x v="130"/>
    <s v="L-D-1"/>
    <n v="6"/>
    <x v="130"/>
    <s v=""/>
    <x v="0"/>
    <x v="3"/>
    <s v="D"/>
    <x v="0"/>
    <n v="12.95"/>
    <n v="77.699999999999989"/>
    <x v="3"/>
    <x v="2"/>
    <x v="0"/>
  </r>
  <r>
    <s v="ZJE-89333-489"/>
    <x v="125"/>
    <x v="131"/>
    <s v="L-D-2.5"/>
    <n v="1"/>
    <x v="131"/>
    <s v="vkundt3w@bigcartel.com"/>
    <x v="1"/>
    <x v="3"/>
    <s v="D"/>
    <x v="2"/>
    <n v="29.784999999999997"/>
    <n v="29.784999999999997"/>
    <x v="3"/>
    <x v="2"/>
    <x v="0"/>
  </r>
  <r>
    <s v="LOO-35324-159"/>
    <x v="126"/>
    <x v="132"/>
    <s v="A-L-0.2"/>
    <n v="4"/>
    <x v="132"/>
    <s v="bbett3x@google.de"/>
    <x v="0"/>
    <x v="2"/>
    <s v="L"/>
    <x v="3"/>
    <n v="3.8849999999999998"/>
    <n v="15.54"/>
    <x v="2"/>
    <x v="1"/>
    <x v="0"/>
  </r>
  <r>
    <s v="JBQ-93412-846"/>
    <x v="127"/>
    <x v="133"/>
    <s v="E-L-2.5"/>
    <n v="4"/>
    <x v="133"/>
    <s v=""/>
    <x v="1"/>
    <x v="1"/>
    <s v="L"/>
    <x v="2"/>
    <n v="34.154999999999994"/>
    <n v="136.61999999999998"/>
    <x v="1"/>
    <x v="1"/>
    <x v="0"/>
  </r>
  <r>
    <s v="EHX-66333-637"/>
    <x v="128"/>
    <x v="134"/>
    <s v="L-M-0.5"/>
    <n v="2"/>
    <x v="134"/>
    <s v="dstaite3z@scientificamerican.com"/>
    <x v="0"/>
    <x v="3"/>
    <s v="M"/>
    <x v="1"/>
    <n v="8.73"/>
    <n v="17.46"/>
    <x v="3"/>
    <x v="0"/>
    <x v="1"/>
  </r>
  <r>
    <s v="WXG-25759-236"/>
    <x v="103"/>
    <x v="135"/>
    <s v="E-L-2.5"/>
    <n v="2"/>
    <x v="135"/>
    <s v="wkeyse40@apple.com"/>
    <x v="0"/>
    <x v="1"/>
    <s v="L"/>
    <x v="2"/>
    <n v="34.154999999999994"/>
    <n v="68.309999999999988"/>
    <x v="1"/>
    <x v="1"/>
    <x v="0"/>
  </r>
  <r>
    <s v="QNA-31113-984"/>
    <x v="129"/>
    <x v="136"/>
    <s v="L-M-0.2"/>
    <n v="4"/>
    <x v="136"/>
    <s v="oclausenthue41@marriott.com"/>
    <x v="0"/>
    <x v="3"/>
    <s v="M"/>
    <x v="3"/>
    <n v="4.3650000000000002"/>
    <n v="17.46"/>
    <x v="3"/>
    <x v="0"/>
    <x v="1"/>
  </r>
  <r>
    <s v="ZWI-52029-159"/>
    <x v="130"/>
    <x v="137"/>
    <s v="L-M-1"/>
    <n v="3"/>
    <x v="137"/>
    <s v="lfrancisco42@fema.gov"/>
    <x v="0"/>
    <x v="3"/>
    <s v="M"/>
    <x v="0"/>
    <n v="14.55"/>
    <n v="43.650000000000006"/>
    <x v="3"/>
    <x v="0"/>
    <x v="1"/>
  </r>
  <r>
    <s v="ZWI-52029-159"/>
    <x v="130"/>
    <x v="137"/>
    <s v="E-M-1"/>
    <n v="2"/>
    <x v="137"/>
    <s v="lfrancisco42@fema.gov"/>
    <x v="0"/>
    <x v="1"/>
    <s v="M"/>
    <x v="0"/>
    <n v="13.75"/>
    <n v="27.5"/>
    <x v="1"/>
    <x v="0"/>
    <x v="1"/>
  </r>
  <r>
    <s v="DFS-49954-707"/>
    <x v="131"/>
    <x v="138"/>
    <s v="E-D-0.2"/>
    <n v="5"/>
    <x v="138"/>
    <s v="gskingle44@clickbank.net"/>
    <x v="0"/>
    <x v="1"/>
    <s v="D"/>
    <x v="3"/>
    <n v="3.645"/>
    <n v="18.225000000000001"/>
    <x v="1"/>
    <x v="2"/>
    <x v="0"/>
  </r>
  <r>
    <s v="VYP-89830-878"/>
    <x v="132"/>
    <x v="139"/>
    <s v="A-M-2.5"/>
    <n v="2"/>
    <x v="139"/>
    <s v=""/>
    <x v="0"/>
    <x v="2"/>
    <s v="M"/>
    <x v="2"/>
    <n v="25.874999999999996"/>
    <n v="51.749999999999993"/>
    <x v="2"/>
    <x v="0"/>
    <x v="0"/>
  </r>
  <r>
    <s v="AMT-40418-362"/>
    <x v="133"/>
    <x v="140"/>
    <s v="L-D-1"/>
    <n v="1"/>
    <x v="140"/>
    <s v="jbalsillie46@princeton.edu"/>
    <x v="0"/>
    <x v="3"/>
    <s v="D"/>
    <x v="0"/>
    <n v="12.95"/>
    <n v="12.95"/>
    <x v="3"/>
    <x v="2"/>
    <x v="0"/>
  </r>
  <r>
    <s v="NFQ-23241-793"/>
    <x v="134"/>
    <x v="141"/>
    <s v="A-M-1"/>
    <n v="3"/>
    <x v="141"/>
    <s v=""/>
    <x v="0"/>
    <x v="2"/>
    <s v="M"/>
    <x v="0"/>
    <n v="11.25"/>
    <n v="33.75"/>
    <x v="2"/>
    <x v="0"/>
    <x v="0"/>
  </r>
  <r>
    <s v="JQK-64922-985"/>
    <x v="113"/>
    <x v="142"/>
    <s v="R-M-2.5"/>
    <n v="3"/>
    <x v="142"/>
    <s v="bleffek48@ning.com"/>
    <x v="0"/>
    <x v="0"/>
    <s v="M"/>
    <x v="2"/>
    <n v="22.884999999999998"/>
    <n v="68.655000000000001"/>
    <x v="0"/>
    <x v="0"/>
    <x v="0"/>
  </r>
  <r>
    <s v="YET-17732-678"/>
    <x v="135"/>
    <x v="143"/>
    <s v="R-D-0.2"/>
    <n v="1"/>
    <x v="143"/>
    <s v=""/>
    <x v="0"/>
    <x v="0"/>
    <s v="D"/>
    <x v="3"/>
    <n v="2.6849999999999996"/>
    <n v="2.6849999999999996"/>
    <x v="0"/>
    <x v="2"/>
    <x v="1"/>
  </r>
  <r>
    <s v="NKW-24945-846"/>
    <x v="35"/>
    <x v="144"/>
    <s v="A-D-2.5"/>
    <n v="5"/>
    <x v="144"/>
    <s v="jpray4a@youtube.com"/>
    <x v="0"/>
    <x v="2"/>
    <s v="D"/>
    <x v="2"/>
    <n v="22.884999999999998"/>
    <n v="114.42499999999998"/>
    <x v="2"/>
    <x v="2"/>
    <x v="1"/>
  </r>
  <r>
    <s v="VKA-82720-513"/>
    <x v="136"/>
    <x v="145"/>
    <s v="A-M-2.5"/>
    <n v="6"/>
    <x v="145"/>
    <s v="gholborn4b@ow.ly"/>
    <x v="0"/>
    <x v="2"/>
    <s v="M"/>
    <x v="2"/>
    <n v="25.874999999999996"/>
    <n v="155.24999999999997"/>
    <x v="2"/>
    <x v="0"/>
    <x v="0"/>
  </r>
  <r>
    <s v="THA-60599-417"/>
    <x v="137"/>
    <x v="146"/>
    <s v="A-M-2.5"/>
    <n v="3"/>
    <x v="146"/>
    <s v="fkeinrat4c@dailymail.co.uk"/>
    <x v="0"/>
    <x v="2"/>
    <s v="M"/>
    <x v="2"/>
    <n v="25.874999999999996"/>
    <n v="77.624999999999986"/>
    <x v="2"/>
    <x v="0"/>
    <x v="0"/>
  </r>
  <r>
    <s v="MEK-39769-035"/>
    <x v="138"/>
    <x v="147"/>
    <s v="R-D-2.5"/>
    <n v="3"/>
    <x v="147"/>
    <s v="pyea4d@aol.com"/>
    <x v="1"/>
    <x v="0"/>
    <s v="D"/>
    <x v="2"/>
    <n v="20.584999999999997"/>
    <n v="61.754999999999995"/>
    <x v="0"/>
    <x v="2"/>
    <x v="1"/>
  </r>
  <r>
    <s v="JAF-18294-750"/>
    <x v="139"/>
    <x v="148"/>
    <s v="R-D-2.5"/>
    <n v="6"/>
    <x v="148"/>
    <s v=""/>
    <x v="0"/>
    <x v="0"/>
    <s v="D"/>
    <x v="2"/>
    <n v="20.584999999999997"/>
    <n v="123.50999999999999"/>
    <x v="0"/>
    <x v="2"/>
    <x v="0"/>
  </r>
  <r>
    <s v="TME-59627-221"/>
    <x v="140"/>
    <x v="149"/>
    <s v="L-L-2.5"/>
    <n v="6"/>
    <x v="149"/>
    <s v=""/>
    <x v="0"/>
    <x v="3"/>
    <s v="L"/>
    <x v="2"/>
    <n v="36.454999999999998"/>
    <n v="218.73"/>
    <x v="3"/>
    <x v="1"/>
    <x v="1"/>
  </r>
  <r>
    <s v="UDG-65353-824"/>
    <x v="141"/>
    <x v="150"/>
    <s v="E-M-0.5"/>
    <n v="4"/>
    <x v="150"/>
    <s v="kswede4g@addthis.com"/>
    <x v="0"/>
    <x v="1"/>
    <s v="M"/>
    <x v="1"/>
    <n v="8.25"/>
    <n v="33"/>
    <x v="1"/>
    <x v="0"/>
    <x v="1"/>
  </r>
  <r>
    <s v="ENQ-42923-176"/>
    <x v="142"/>
    <x v="151"/>
    <s v="A-L-0.5"/>
    <n v="3"/>
    <x v="151"/>
    <s v="lrubrow4h@microsoft.com"/>
    <x v="0"/>
    <x v="2"/>
    <s v="L"/>
    <x v="1"/>
    <n v="7.77"/>
    <n v="23.31"/>
    <x v="2"/>
    <x v="1"/>
    <x v="1"/>
  </r>
  <r>
    <s v="CBT-55781-720"/>
    <x v="143"/>
    <x v="152"/>
    <s v="E-D-0.5"/>
    <n v="3"/>
    <x v="152"/>
    <s v="dtift4i@netvibes.com"/>
    <x v="0"/>
    <x v="1"/>
    <s v="D"/>
    <x v="1"/>
    <n v="7.29"/>
    <n v="21.87"/>
    <x v="1"/>
    <x v="2"/>
    <x v="0"/>
  </r>
  <r>
    <s v="NEU-86533-016"/>
    <x v="144"/>
    <x v="153"/>
    <s v="R-D-0.2"/>
    <n v="6"/>
    <x v="153"/>
    <s v="gschonfeld4j@oracle.com"/>
    <x v="0"/>
    <x v="0"/>
    <s v="D"/>
    <x v="3"/>
    <n v="2.6849999999999996"/>
    <n v="16.11"/>
    <x v="0"/>
    <x v="2"/>
    <x v="1"/>
  </r>
  <r>
    <s v="BYU-58154-603"/>
    <x v="145"/>
    <x v="154"/>
    <s v="E-D-0.5"/>
    <n v="4"/>
    <x v="154"/>
    <s v="cfeye4k@google.co.jp"/>
    <x v="1"/>
    <x v="1"/>
    <s v="D"/>
    <x v="1"/>
    <n v="7.29"/>
    <n v="29.16"/>
    <x v="1"/>
    <x v="2"/>
    <x v="1"/>
  </r>
  <r>
    <s v="EHJ-05910-257"/>
    <x v="146"/>
    <x v="155"/>
    <s v="R-D-1"/>
    <n v="6"/>
    <x v="155"/>
    <s v=""/>
    <x v="0"/>
    <x v="0"/>
    <s v="D"/>
    <x v="0"/>
    <n v="8.9499999999999993"/>
    <n v="53.699999999999996"/>
    <x v="0"/>
    <x v="2"/>
    <x v="0"/>
  </r>
  <r>
    <s v="EIL-44855-309"/>
    <x v="147"/>
    <x v="156"/>
    <s v="R-D-0.5"/>
    <n v="5"/>
    <x v="156"/>
    <s v=""/>
    <x v="0"/>
    <x v="0"/>
    <s v="D"/>
    <x v="1"/>
    <n v="5.3699999999999992"/>
    <n v="26.849999999999994"/>
    <x v="0"/>
    <x v="2"/>
    <x v="0"/>
  </r>
  <r>
    <s v="HCA-87224-420"/>
    <x v="148"/>
    <x v="157"/>
    <s v="E-M-0.5"/>
    <n v="5"/>
    <x v="157"/>
    <s v="tfero4n@comsenz.com"/>
    <x v="0"/>
    <x v="1"/>
    <s v="M"/>
    <x v="1"/>
    <n v="8.25"/>
    <n v="41.25"/>
    <x v="1"/>
    <x v="0"/>
    <x v="0"/>
  </r>
  <r>
    <s v="ABO-29054-365"/>
    <x v="149"/>
    <x v="158"/>
    <s v="A-M-0.5"/>
    <n v="6"/>
    <x v="158"/>
    <s v=""/>
    <x v="1"/>
    <x v="2"/>
    <s v="M"/>
    <x v="1"/>
    <n v="6.75"/>
    <n v="40.5"/>
    <x v="2"/>
    <x v="0"/>
    <x v="1"/>
  </r>
  <r>
    <s v="TKN-58485-031"/>
    <x v="150"/>
    <x v="159"/>
    <s v="R-D-1"/>
    <n v="2"/>
    <x v="159"/>
    <s v="fdauney4p@sphinn.com"/>
    <x v="1"/>
    <x v="0"/>
    <s v="D"/>
    <x v="0"/>
    <n v="8.9499999999999993"/>
    <n v="17.899999999999999"/>
    <x v="0"/>
    <x v="2"/>
    <x v="1"/>
  </r>
  <r>
    <s v="RCK-04069-371"/>
    <x v="151"/>
    <x v="160"/>
    <s v="E-L-2.5"/>
    <n v="2"/>
    <x v="160"/>
    <s v="searley4q@youku.com"/>
    <x v="2"/>
    <x v="1"/>
    <s v="L"/>
    <x v="2"/>
    <n v="34.154999999999994"/>
    <n v="68.309999999999988"/>
    <x v="1"/>
    <x v="1"/>
    <x v="1"/>
  </r>
  <r>
    <s v="IRJ-67095-738"/>
    <x v="13"/>
    <x v="161"/>
    <s v="E-M-2.5"/>
    <n v="2"/>
    <x v="161"/>
    <s v="mchamberlayne4r@bigcartel.com"/>
    <x v="0"/>
    <x v="1"/>
    <s v="M"/>
    <x v="2"/>
    <n v="31.624999999999996"/>
    <n v="63.249999999999993"/>
    <x v="1"/>
    <x v="0"/>
    <x v="0"/>
  </r>
  <r>
    <s v="VEA-31961-977"/>
    <x v="79"/>
    <x v="162"/>
    <s v="E-D-0.5"/>
    <n v="3"/>
    <x v="162"/>
    <s v="bflaherty4s@moonfruit.com"/>
    <x v="1"/>
    <x v="1"/>
    <s v="D"/>
    <x v="1"/>
    <n v="7.29"/>
    <n v="21.87"/>
    <x v="1"/>
    <x v="2"/>
    <x v="1"/>
  </r>
  <r>
    <s v="BAF-42286-205"/>
    <x v="152"/>
    <x v="163"/>
    <s v="R-M-2.5"/>
    <n v="4"/>
    <x v="163"/>
    <s v="ocolbeck4t@sina.com.cn"/>
    <x v="0"/>
    <x v="0"/>
    <s v="M"/>
    <x v="2"/>
    <n v="22.884999999999998"/>
    <n v="91.539999999999992"/>
    <x v="0"/>
    <x v="0"/>
    <x v="1"/>
  </r>
  <r>
    <s v="WOR-52762-511"/>
    <x v="153"/>
    <x v="164"/>
    <s v="E-L-2.5"/>
    <n v="6"/>
    <x v="164"/>
    <s v=""/>
    <x v="0"/>
    <x v="1"/>
    <s v="L"/>
    <x v="2"/>
    <n v="34.154999999999994"/>
    <n v="204.92999999999995"/>
    <x v="1"/>
    <x v="1"/>
    <x v="0"/>
  </r>
  <r>
    <s v="ZWK-03995-815"/>
    <x v="154"/>
    <x v="165"/>
    <s v="E-M-2.5"/>
    <n v="2"/>
    <x v="165"/>
    <s v="ehobbing4v@nsw.gov.au"/>
    <x v="0"/>
    <x v="1"/>
    <s v="M"/>
    <x v="2"/>
    <n v="31.624999999999996"/>
    <n v="63.249999999999993"/>
    <x v="1"/>
    <x v="0"/>
    <x v="0"/>
  </r>
  <r>
    <s v="CKF-43291-846"/>
    <x v="155"/>
    <x v="166"/>
    <s v="E-L-2.5"/>
    <n v="1"/>
    <x v="166"/>
    <s v="othynne4w@auda.org.au"/>
    <x v="0"/>
    <x v="1"/>
    <s v="L"/>
    <x v="2"/>
    <n v="34.154999999999994"/>
    <n v="34.154999999999994"/>
    <x v="1"/>
    <x v="1"/>
    <x v="0"/>
  </r>
  <r>
    <s v="RMW-74160-339"/>
    <x v="156"/>
    <x v="167"/>
    <s v="R-L-2.5"/>
    <n v="4"/>
    <x v="167"/>
    <s v="eheining4x@flickr.com"/>
    <x v="0"/>
    <x v="0"/>
    <s v="L"/>
    <x v="2"/>
    <n v="27.484999999999996"/>
    <n v="109.93999999999998"/>
    <x v="0"/>
    <x v="1"/>
    <x v="0"/>
  </r>
  <r>
    <s v="FMT-94584-786"/>
    <x v="22"/>
    <x v="168"/>
    <s v="A-L-1"/>
    <n v="2"/>
    <x v="168"/>
    <s v="kmelloi4y@imdb.com"/>
    <x v="0"/>
    <x v="2"/>
    <s v="L"/>
    <x v="0"/>
    <n v="12.95"/>
    <n v="25.9"/>
    <x v="2"/>
    <x v="1"/>
    <x v="1"/>
  </r>
  <r>
    <s v="NWT-78222-575"/>
    <x v="157"/>
    <x v="169"/>
    <s v="A-D-0.2"/>
    <n v="1"/>
    <x v="169"/>
    <s v=""/>
    <x v="1"/>
    <x v="2"/>
    <s v="D"/>
    <x v="3"/>
    <n v="2.9849999999999999"/>
    <n v="2.9849999999999999"/>
    <x v="2"/>
    <x v="2"/>
    <x v="1"/>
  </r>
  <r>
    <s v="EOI-02511-919"/>
    <x v="158"/>
    <x v="170"/>
    <s v="E-L-0.2"/>
    <n v="5"/>
    <x v="170"/>
    <s v="amussen50@51.la"/>
    <x v="0"/>
    <x v="1"/>
    <s v="L"/>
    <x v="3"/>
    <n v="4.4550000000000001"/>
    <n v="22.274999999999999"/>
    <x v="1"/>
    <x v="1"/>
    <x v="1"/>
  </r>
  <r>
    <s v="EOI-02511-919"/>
    <x v="158"/>
    <x v="170"/>
    <s v="A-D-0.5"/>
    <n v="5"/>
    <x v="170"/>
    <s v="amussen50@51.la"/>
    <x v="0"/>
    <x v="2"/>
    <s v="D"/>
    <x v="1"/>
    <n v="5.97"/>
    <n v="29.849999999999998"/>
    <x v="2"/>
    <x v="2"/>
    <x v="1"/>
  </r>
  <r>
    <s v="UCT-03935-589"/>
    <x v="78"/>
    <x v="171"/>
    <s v="R-D-0.5"/>
    <n v="6"/>
    <x v="171"/>
    <s v="amundford52@nbcnews.com"/>
    <x v="0"/>
    <x v="0"/>
    <s v="D"/>
    <x v="1"/>
    <n v="5.3699999999999992"/>
    <n v="32.22"/>
    <x v="0"/>
    <x v="2"/>
    <x v="1"/>
  </r>
  <r>
    <s v="SBI-60013-494"/>
    <x v="159"/>
    <x v="172"/>
    <s v="E-M-0.2"/>
    <n v="2"/>
    <x v="172"/>
    <s v="twalas53@google.ca"/>
    <x v="0"/>
    <x v="1"/>
    <s v="M"/>
    <x v="3"/>
    <n v="4.125"/>
    <n v="8.25"/>
    <x v="1"/>
    <x v="0"/>
    <x v="1"/>
  </r>
  <r>
    <s v="QRA-73277-814"/>
    <x v="160"/>
    <x v="173"/>
    <s v="A-L-0.5"/>
    <n v="4"/>
    <x v="173"/>
    <s v="iblazewicz54@thetimes.co.uk"/>
    <x v="0"/>
    <x v="2"/>
    <s v="L"/>
    <x v="1"/>
    <n v="7.77"/>
    <n v="31.08"/>
    <x v="2"/>
    <x v="1"/>
    <x v="1"/>
  </r>
  <r>
    <s v="EQE-31648-909"/>
    <x v="161"/>
    <x v="174"/>
    <s v="E-D-0.5"/>
    <n v="5"/>
    <x v="174"/>
    <s v="arizzetti55@naver.com"/>
    <x v="0"/>
    <x v="1"/>
    <s v="D"/>
    <x v="1"/>
    <n v="7.29"/>
    <n v="36.450000000000003"/>
    <x v="1"/>
    <x v="2"/>
    <x v="0"/>
  </r>
  <r>
    <s v="QOO-24615-950"/>
    <x v="162"/>
    <x v="175"/>
    <s v="R-M-2.5"/>
    <n v="3"/>
    <x v="175"/>
    <s v="mmeriet56@noaa.gov"/>
    <x v="0"/>
    <x v="0"/>
    <s v="M"/>
    <x v="2"/>
    <n v="22.884999999999998"/>
    <n v="68.655000000000001"/>
    <x v="0"/>
    <x v="0"/>
    <x v="1"/>
  </r>
  <r>
    <s v="WDV-73864-037"/>
    <x v="70"/>
    <x v="176"/>
    <s v="L-M-0.5"/>
    <n v="5"/>
    <x v="176"/>
    <s v="lpratt57@netvibes.com"/>
    <x v="0"/>
    <x v="3"/>
    <s v="M"/>
    <x v="1"/>
    <n v="8.73"/>
    <n v="43.650000000000006"/>
    <x v="3"/>
    <x v="0"/>
    <x v="0"/>
  </r>
  <r>
    <s v="PKR-88575-066"/>
    <x v="163"/>
    <x v="177"/>
    <s v="E-L-0.2"/>
    <n v="1"/>
    <x v="177"/>
    <s v="akitchingham58@com.com"/>
    <x v="0"/>
    <x v="1"/>
    <s v="L"/>
    <x v="3"/>
    <n v="4.4550000000000001"/>
    <n v="4.4550000000000001"/>
    <x v="1"/>
    <x v="1"/>
    <x v="0"/>
  </r>
  <r>
    <s v="BWR-85735-955"/>
    <x v="153"/>
    <x v="178"/>
    <s v="L-M-1"/>
    <n v="3"/>
    <x v="178"/>
    <s v="bbartholin59@xinhuanet.com"/>
    <x v="0"/>
    <x v="3"/>
    <s v="M"/>
    <x v="0"/>
    <n v="14.55"/>
    <n v="43.650000000000006"/>
    <x v="3"/>
    <x v="0"/>
    <x v="0"/>
  </r>
  <r>
    <s v="YFX-64795-136"/>
    <x v="164"/>
    <x v="179"/>
    <s v="L-M-2.5"/>
    <n v="1"/>
    <x v="179"/>
    <s v="mprinn5a@usa.gov"/>
    <x v="0"/>
    <x v="3"/>
    <s v="M"/>
    <x v="2"/>
    <n v="33.464999999999996"/>
    <n v="33.464999999999996"/>
    <x v="3"/>
    <x v="0"/>
    <x v="0"/>
  </r>
  <r>
    <s v="DDO-71442-967"/>
    <x v="165"/>
    <x v="180"/>
    <s v="L-D-0.2"/>
    <n v="5"/>
    <x v="180"/>
    <s v="abaudino5b@netvibes.com"/>
    <x v="0"/>
    <x v="3"/>
    <s v="D"/>
    <x v="3"/>
    <n v="3.8849999999999998"/>
    <n v="19.424999999999997"/>
    <x v="3"/>
    <x v="2"/>
    <x v="0"/>
  </r>
  <r>
    <s v="ILQ-11027-588"/>
    <x v="166"/>
    <x v="181"/>
    <s v="E-D-1"/>
    <n v="6"/>
    <x v="181"/>
    <s v="ppetrushanko5c@blinklist.com"/>
    <x v="1"/>
    <x v="1"/>
    <s v="D"/>
    <x v="0"/>
    <n v="12.15"/>
    <n v="72.900000000000006"/>
    <x v="1"/>
    <x v="2"/>
    <x v="0"/>
  </r>
  <r>
    <s v="KRZ-13868-122"/>
    <x v="167"/>
    <x v="182"/>
    <s v="E-L-1"/>
    <n v="3"/>
    <x v="182"/>
    <s v=""/>
    <x v="0"/>
    <x v="1"/>
    <s v="L"/>
    <x v="0"/>
    <n v="14.85"/>
    <n v="44.55"/>
    <x v="1"/>
    <x v="1"/>
    <x v="1"/>
  </r>
  <r>
    <s v="VRM-93594-914"/>
    <x v="168"/>
    <x v="183"/>
    <s v="E-D-0.5"/>
    <n v="5"/>
    <x v="183"/>
    <s v="elaird5e@bing.com"/>
    <x v="0"/>
    <x v="1"/>
    <s v="D"/>
    <x v="1"/>
    <n v="7.29"/>
    <n v="36.450000000000003"/>
    <x v="1"/>
    <x v="2"/>
    <x v="1"/>
  </r>
  <r>
    <s v="HXL-22497-359"/>
    <x v="169"/>
    <x v="184"/>
    <s v="A-L-1"/>
    <n v="3"/>
    <x v="184"/>
    <s v="mhowsden5f@infoseek.co.jp"/>
    <x v="0"/>
    <x v="2"/>
    <s v="L"/>
    <x v="0"/>
    <n v="12.95"/>
    <n v="38.849999999999994"/>
    <x v="2"/>
    <x v="1"/>
    <x v="1"/>
  </r>
  <r>
    <s v="NOP-21394-646"/>
    <x v="170"/>
    <x v="185"/>
    <s v="E-L-0.5"/>
    <n v="6"/>
    <x v="185"/>
    <s v="ncuttler5g@parallels.com"/>
    <x v="0"/>
    <x v="1"/>
    <s v="L"/>
    <x v="1"/>
    <n v="8.91"/>
    <n v="53.46"/>
    <x v="1"/>
    <x v="1"/>
    <x v="1"/>
  </r>
  <r>
    <s v="NOP-21394-646"/>
    <x v="170"/>
    <x v="185"/>
    <s v="L-D-2.5"/>
    <n v="2"/>
    <x v="185"/>
    <s v="ncuttler5g@parallels.com"/>
    <x v="0"/>
    <x v="3"/>
    <s v="D"/>
    <x v="2"/>
    <n v="29.784999999999997"/>
    <n v="59.569999999999993"/>
    <x v="3"/>
    <x v="2"/>
    <x v="1"/>
  </r>
  <r>
    <s v="NOP-21394-646"/>
    <x v="170"/>
    <x v="185"/>
    <s v="L-D-2.5"/>
    <n v="3"/>
    <x v="185"/>
    <s v="ncuttler5g@parallels.com"/>
    <x v="0"/>
    <x v="3"/>
    <s v="D"/>
    <x v="2"/>
    <n v="29.784999999999997"/>
    <n v="89.35499999999999"/>
    <x v="3"/>
    <x v="2"/>
    <x v="1"/>
  </r>
  <r>
    <s v="NOP-21394-646"/>
    <x v="170"/>
    <x v="185"/>
    <s v="L-L-0.5"/>
    <n v="4"/>
    <x v="185"/>
    <s v="ncuttler5g@parallels.com"/>
    <x v="0"/>
    <x v="3"/>
    <s v="L"/>
    <x v="1"/>
    <n v="9.51"/>
    <n v="38.04"/>
    <x v="3"/>
    <x v="1"/>
    <x v="1"/>
  </r>
  <r>
    <s v="NOP-21394-646"/>
    <x v="170"/>
    <x v="185"/>
    <s v="E-M-1"/>
    <n v="3"/>
    <x v="185"/>
    <s v="ncuttler5g@parallels.com"/>
    <x v="0"/>
    <x v="1"/>
    <s v="M"/>
    <x v="0"/>
    <n v="13.75"/>
    <n v="41.25"/>
    <x v="1"/>
    <x v="0"/>
    <x v="1"/>
  </r>
  <r>
    <s v="FTV-77095-168"/>
    <x v="171"/>
    <x v="186"/>
    <s v="L-L-0.5"/>
    <n v="6"/>
    <x v="186"/>
    <s v=""/>
    <x v="0"/>
    <x v="3"/>
    <s v="L"/>
    <x v="1"/>
    <n v="9.51"/>
    <n v="57.06"/>
    <x v="3"/>
    <x v="1"/>
    <x v="1"/>
  </r>
  <r>
    <s v="BOR-02906-411"/>
    <x v="172"/>
    <x v="187"/>
    <s v="L-D-2.5"/>
    <n v="6"/>
    <x v="187"/>
    <s v="tfelip5m@typepad.com"/>
    <x v="0"/>
    <x v="3"/>
    <s v="D"/>
    <x v="2"/>
    <n v="29.784999999999997"/>
    <n v="178.70999999999998"/>
    <x v="3"/>
    <x v="2"/>
    <x v="0"/>
  </r>
  <r>
    <s v="WMP-68847-770"/>
    <x v="173"/>
    <x v="188"/>
    <s v="L-L-0.2"/>
    <n v="1"/>
    <x v="188"/>
    <s v="vle5n@disqus.com"/>
    <x v="0"/>
    <x v="3"/>
    <s v="L"/>
    <x v="3"/>
    <n v="4.7549999999999999"/>
    <n v="4.7549999999999999"/>
    <x v="3"/>
    <x v="1"/>
    <x v="1"/>
  </r>
  <r>
    <s v="TMO-22785-872"/>
    <x v="174"/>
    <x v="189"/>
    <s v="E-M-1"/>
    <n v="6"/>
    <x v="189"/>
    <s v=""/>
    <x v="0"/>
    <x v="1"/>
    <s v="M"/>
    <x v="0"/>
    <n v="13.75"/>
    <n v="82.5"/>
    <x v="1"/>
    <x v="0"/>
    <x v="1"/>
  </r>
  <r>
    <s v="TJG-73587-353"/>
    <x v="175"/>
    <x v="190"/>
    <s v="R-D-0.2"/>
    <n v="3"/>
    <x v="190"/>
    <s v=""/>
    <x v="0"/>
    <x v="0"/>
    <s v="D"/>
    <x v="3"/>
    <n v="2.6849999999999996"/>
    <n v="8.0549999999999997"/>
    <x v="0"/>
    <x v="2"/>
    <x v="0"/>
  </r>
  <r>
    <s v="OOU-61343-455"/>
    <x v="176"/>
    <x v="191"/>
    <s v="A-M-1"/>
    <n v="2"/>
    <x v="191"/>
    <s v="npoolman5q@howstuffworks.com"/>
    <x v="0"/>
    <x v="2"/>
    <s v="M"/>
    <x v="0"/>
    <n v="11.25"/>
    <n v="22.5"/>
    <x v="2"/>
    <x v="0"/>
    <x v="1"/>
  </r>
  <r>
    <s v="RMA-08327-369"/>
    <x v="142"/>
    <x v="192"/>
    <s v="A-M-0.5"/>
    <n v="6"/>
    <x v="192"/>
    <s v="oduny5r@constantcontact.com"/>
    <x v="0"/>
    <x v="2"/>
    <s v="M"/>
    <x v="1"/>
    <n v="6.75"/>
    <n v="40.5"/>
    <x v="2"/>
    <x v="0"/>
    <x v="0"/>
  </r>
  <r>
    <s v="SFB-97929-779"/>
    <x v="177"/>
    <x v="193"/>
    <s v="E-D-0.5"/>
    <n v="4"/>
    <x v="193"/>
    <s v="chalfhide5s@google.ru"/>
    <x v="1"/>
    <x v="1"/>
    <s v="D"/>
    <x v="1"/>
    <n v="7.29"/>
    <n v="29.16"/>
    <x v="1"/>
    <x v="2"/>
    <x v="0"/>
  </r>
  <r>
    <s v="AUP-10128-606"/>
    <x v="178"/>
    <x v="194"/>
    <s v="A-M-0.5"/>
    <n v="1"/>
    <x v="194"/>
    <s v="fmalecky5t@list-manage.com"/>
    <x v="2"/>
    <x v="2"/>
    <s v="M"/>
    <x v="1"/>
    <n v="6.75"/>
    <n v="6.75"/>
    <x v="2"/>
    <x v="0"/>
    <x v="1"/>
  </r>
  <r>
    <s v="YTW-40242-005"/>
    <x v="179"/>
    <x v="195"/>
    <s v="L-D-1"/>
    <n v="4"/>
    <x v="195"/>
    <s v="aattwater5u@wikia.com"/>
    <x v="0"/>
    <x v="3"/>
    <s v="D"/>
    <x v="0"/>
    <n v="12.95"/>
    <n v="51.8"/>
    <x v="3"/>
    <x v="2"/>
    <x v="0"/>
  </r>
  <r>
    <s v="PRP-53390-819"/>
    <x v="180"/>
    <x v="196"/>
    <s v="E-L-0.5"/>
    <n v="6"/>
    <x v="196"/>
    <s v="mwhellans5v@mapquest.com"/>
    <x v="0"/>
    <x v="1"/>
    <s v="L"/>
    <x v="1"/>
    <n v="8.91"/>
    <n v="53.46"/>
    <x v="1"/>
    <x v="1"/>
    <x v="1"/>
  </r>
  <r>
    <s v="GSJ-01065-125"/>
    <x v="181"/>
    <x v="197"/>
    <s v="E-D-0.2"/>
    <n v="4"/>
    <x v="197"/>
    <s v="dcamilletti5w@businesswire.com"/>
    <x v="0"/>
    <x v="1"/>
    <s v="D"/>
    <x v="3"/>
    <n v="3.645"/>
    <n v="14.58"/>
    <x v="1"/>
    <x v="2"/>
    <x v="0"/>
  </r>
  <r>
    <s v="YQU-65147-580"/>
    <x v="182"/>
    <x v="198"/>
    <s v="R-D-2.5"/>
    <n v="1"/>
    <x v="198"/>
    <s v="egalgey5x@wufoo.com"/>
    <x v="0"/>
    <x v="0"/>
    <s v="D"/>
    <x v="2"/>
    <n v="20.584999999999997"/>
    <n v="20.584999999999997"/>
    <x v="0"/>
    <x v="2"/>
    <x v="1"/>
  </r>
  <r>
    <s v="QPM-95832-683"/>
    <x v="183"/>
    <x v="199"/>
    <s v="L-L-1"/>
    <n v="2"/>
    <x v="199"/>
    <s v="mhame5y@newsvine.com"/>
    <x v="1"/>
    <x v="3"/>
    <s v="L"/>
    <x v="0"/>
    <n v="15.85"/>
    <n v="31.7"/>
    <x v="3"/>
    <x v="1"/>
    <x v="1"/>
  </r>
  <r>
    <s v="BNQ-88920-567"/>
    <x v="184"/>
    <x v="200"/>
    <s v="L-D-0.2"/>
    <n v="6"/>
    <x v="200"/>
    <s v="igurnee5z@usnews.com"/>
    <x v="0"/>
    <x v="3"/>
    <s v="D"/>
    <x v="3"/>
    <n v="3.8849999999999998"/>
    <n v="23.31"/>
    <x v="3"/>
    <x v="2"/>
    <x v="1"/>
  </r>
  <r>
    <s v="PUX-47906-110"/>
    <x v="185"/>
    <x v="201"/>
    <s v="L-M-1"/>
    <n v="4"/>
    <x v="201"/>
    <s v="asnowding60@comsenz.com"/>
    <x v="0"/>
    <x v="3"/>
    <s v="M"/>
    <x v="0"/>
    <n v="14.55"/>
    <n v="58.2"/>
    <x v="3"/>
    <x v="0"/>
    <x v="0"/>
  </r>
  <r>
    <s v="COL-72079-610"/>
    <x v="186"/>
    <x v="202"/>
    <s v="E-L-0.5"/>
    <n v="4"/>
    <x v="202"/>
    <s v="gpoinsett61@berkeley.edu"/>
    <x v="0"/>
    <x v="1"/>
    <s v="L"/>
    <x v="1"/>
    <n v="8.91"/>
    <n v="35.64"/>
    <x v="1"/>
    <x v="1"/>
    <x v="1"/>
  </r>
  <r>
    <s v="LBC-45686-819"/>
    <x v="187"/>
    <x v="203"/>
    <s v="A-M-1"/>
    <n v="5"/>
    <x v="203"/>
    <s v="rfurman62@t.co"/>
    <x v="1"/>
    <x v="2"/>
    <s v="M"/>
    <x v="0"/>
    <n v="11.25"/>
    <n v="56.25"/>
    <x v="2"/>
    <x v="0"/>
    <x v="0"/>
  </r>
  <r>
    <s v="BLQ-03709-265"/>
    <x v="148"/>
    <x v="204"/>
    <s v="R-L-0.2"/>
    <n v="3"/>
    <x v="204"/>
    <s v="ccrosier63@xrea.com"/>
    <x v="0"/>
    <x v="0"/>
    <s v="L"/>
    <x v="3"/>
    <n v="3.5849999999999995"/>
    <n v="10.754999999999999"/>
    <x v="0"/>
    <x v="1"/>
    <x v="1"/>
  </r>
  <r>
    <s v="BLQ-03709-265"/>
    <x v="148"/>
    <x v="204"/>
    <s v="R-M-0.2"/>
    <n v="5"/>
    <x v="204"/>
    <s v="ccrosier63@xrea.com"/>
    <x v="0"/>
    <x v="0"/>
    <s v="M"/>
    <x v="3"/>
    <n v="2.9849999999999999"/>
    <n v="14.924999999999999"/>
    <x v="0"/>
    <x v="0"/>
    <x v="1"/>
  </r>
  <r>
    <s v="VFZ-91673-181"/>
    <x v="188"/>
    <x v="205"/>
    <s v="A-L-1"/>
    <n v="6"/>
    <x v="205"/>
    <s v="lrushmer65@europa.eu"/>
    <x v="0"/>
    <x v="2"/>
    <s v="L"/>
    <x v="0"/>
    <n v="12.95"/>
    <n v="77.699999999999989"/>
    <x v="2"/>
    <x v="1"/>
    <x v="0"/>
  </r>
  <r>
    <s v="WKD-81956-870"/>
    <x v="189"/>
    <x v="206"/>
    <s v="L-D-0.5"/>
    <n v="3"/>
    <x v="206"/>
    <s v="wedinborough66@github.io"/>
    <x v="0"/>
    <x v="3"/>
    <s v="D"/>
    <x v="1"/>
    <n v="7.77"/>
    <n v="23.31"/>
    <x v="3"/>
    <x v="2"/>
    <x v="1"/>
  </r>
  <r>
    <s v="TNI-91067-006"/>
    <x v="190"/>
    <x v="207"/>
    <s v="E-L-1"/>
    <n v="4"/>
    <x v="207"/>
    <s v=""/>
    <x v="0"/>
    <x v="1"/>
    <s v="L"/>
    <x v="0"/>
    <n v="14.85"/>
    <n v="59.4"/>
    <x v="1"/>
    <x v="1"/>
    <x v="0"/>
  </r>
  <r>
    <s v="IZA-61469-812"/>
    <x v="191"/>
    <x v="208"/>
    <s v="L-D-2.5"/>
    <n v="4"/>
    <x v="208"/>
    <s v="kbromehead68@un.org"/>
    <x v="0"/>
    <x v="3"/>
    <s v="D"/>
    <x v="2"/>
    <n v="29.784999999999997"/>
    <n v="119.13999999999999"/>
    <x v="3"/>
    <x v="2"/>
    <x v="0"/>
  </r>
  <r>
    <s v="PSS-22466-862"/>
    <x v="192"/>
    <x v="209"/>
    <s v="R-L-0.2"/>
    <n v="4"/>
    <x v="209"/>
    <s v="ewesterman69@si.edu"/>
    <x v="1"/>
    <x v="0"/>
    <s v="L"/>
    <x v="3"/>
    <n v="3.5849999999999995"/>
    <n v="14.339999999999998"/>
    <x v="0"/>
    <x v="1"/>
    <x v="1"/>
  </r>
  <r>
    <s v="REH-56504-397"/>
    <x v="193"/>
    <x v="210"/>
    <s v="A-M-2.5"/>
    <n v="5"/>
    <x v="210"/>
    <s v="ahutchens6a@amazonaws.com"/>
    <x v="0"/>
    <x v="2"/>
    <s v="M"/>
    <x v="2"/>
    <n v="25.874999999999996"/>
    <n v="129.37499999999997"/>
    <x v="2"/>
    <x v="0"/>
    <x v="1"/>
  </r>
  <r>
    <s v="ALA-62598-016"/>
    <x v="194"/>
    <x v="211"/>
    <s v="R-D-0.2"/>
    <n v="6"/>
    <x v="211"/>
    <s v="nwyvill6b@naver.com"/>
    <x v="2"/>
    <x v="0"/>
    <s v="D"/>
    <x v="3"/>
    <n v="2.6849999999999996"/>
    <n v="16.11"/>
    <x v="0"/>
    <x v="2"/>
    <x v="0"/>
  </r>
  <r>
    <s v="EYE-70374-835"/>
    <x v="195"/>
    <x v="212"/>
    <s v="R-L-0.2"/>
    <n v="5"/>
    <x v="212"/>
    <s v="bmathon6c@barnesandnoble.com"/>
    <x v="0"/>
    <x v="0"/>
    <s v="L"/>
    <x v="3"/>
    <n v="3.5849999999999995"/>
    <n v="17.924999999999997"/>
    <x v="0"/>
    <x v="1"/>
    <x v="1"/>
  </r>
  <r>
    <s v="CCZ-19589-212"/>
    <x v="196"/>
    <x v="213"/>
    <s v="L-M-0.2"/>
    <n v="2"/>
    <x v="213"/>
    <s v="kstreight6d@about.com"/>
    <x v="0"/>
    <x v="3"/>
    <s v="M"/>
    <x v="3"/>
    <n v="4.3650000000000002"/>
    <n v="8.73"/>
    <x v="3"/>
    <x v="0"/>
    <x v="1"/>
  </r>
  <r>
    <s v="BPT-83989-157"/>
    <x v="197"/>
    <x v="214"/>
    <s v="A-M-2.5"/>
    <n v="2"/>
    <x v="214"/>
    <s v="pcutchie6e@globo.com"/>
    <x v="0"/>
    <x v="2"/>
    <s v="M"/>
    <x v="2"/>
    <n v="25.874999999999996"/>
    <n v="51.749999999999993"/>
    <x v="2"/>
    <x v="0"/>
    <x v="1"/>
  </r>
  <r>
    <s v="YFH-87456-208"/>
    <x v="198"/>
    <x v="215"/>
    <s v="L-M-0.2"/>
    <n v="2"/>
    <x v="215"/>
    <s v=""/>
    <x v="0"/>
    <x v="3"/>
    <s v="M"/>
    <x v="3"/>
    <n v="4.3650000000000002"/>
    <n v="8.73"/>
    <x v="3"/>
    <x v="0"/>
    <x v="0"/>
  </r>
  <r>
    <s v="JLN-14700-924"/>
    <x v="199"/>
    <x v="216"/>
    <s v="L-L-0.2"/>
    <n v="5"/>
    <x v="216"/>
    <s v="cgheraldi6g@opera.com"/>
    <x v="2"/>
    <x v="3"/>
    <s v="L"/>
    <x v="3"/>
    <n v="4.7549999999999999"/>
    <n v="23.774999999999999"/>
    <x v="3"/>
    <x v="1"/>
    <x v="1"/>
  </r>
  <r>
    <s v="JVW-22582-137"/>
    <x v="200"/>
    <x v="217"/>
    <s v="E-M-0.2"/>
    <n v="5"/>
    <x v="217"/>
    <s v="bkenwell6h@over-blog.com"/>
    <x v="0"/>
    <x v="1"/>
    <s v="M"/>
    <x v="3"/>
    <n v="4.125"/>
    <n v="20.625"/>
    <x v="1"/>
    <x v="0"/>
    <x v="1"/>
  </r>
  <r>
    <s v="LAA-41879-001"/>
    <x v="201"/>
    <x v="218"/>
    <s v="L-L-2.5"/>
    <n v="1"/>
    <x v="218"/>
    <s v="tsutty6i@google.es"/>
    <x v="0"/>
    <x v="3"/>
    <s v="L"/>
    <x v="2"/>
    <n v="36.454999999999998"/>
    <n v="36.454999999999998"/>
    <x v="3"/>
    <x v="1"/>
    <x v="1"/>
  </r>
  <r>
    <s v="BRV-64870-915"/>
    <x v="202"/>
    <x v="219"/>
    <s v="L-L-2.5"/>
    <n v="5"/>
    <x v="219"/>
    <s v=""/>
    <x v="1"/>
    <x v="3"/>
    <s v="L"/>
    <x v="2"/>
    <n v="36.454999999999998"/>
    <n v="182.27499999999998"/>
    <x v="3"/>
    <x v="1"/>
    <x v="1"/>
  </r>
  <r>
    <s v="RGJ-12544-083"/>
    <x v="203"/>
    <x v="220"/>
    <s v="L-D-2.5"/>
    <n v="3"/>
    <x v="220"/>
    <s v="charce6k@cafepress.com"/>
    <x v="1"/>
    <x v="3"/>
    <s v="D"/>
    <x v="2"/>
    <n v="29.784999999999997"/>
    <n v="89.35499999999999"/>
    <x v="3"/>
    <x v="2"/>
    <x v="1"/>
  </r>
  <r>
    <s v="JJX-83339-346"/>
    <x v="204"/>
    <x v="221"/>
    <s v="R-L-0.2"/>
    <n v="1"/>
    <x v="221"/>
    <s v=""/>
    <x v="0"/>
    <x v="0"/>
    <s v="L"/>
    <x v="3"/>
    <n v="3.5849999999999995"/>
    <n v="3.5849999999999995"/>
    <x v="0"/>
    <x v="1"/>
    <x v="0"/>
  </r>
  <r>
    <s v="BIU-21970-705"/>
    <x v="205"/>
    <x v="222"/>
    <s v="R-M-2.5"/>
    <n v="2"/>
    <x v="222"/>
    <s v="fdrysdale6m@symantec.com"/>
    <x v="0"/>
    <x v="0"/>
    <s v="M"/>
    <x v="2"/>
    <n v="22.884999999999998"/>
    <n v="45.769999999999996"/>
    <x v="0"/>
    <x v="0"/>
    <x v="0"/>
  </r>
  <r>
    <s v="ELJ-87741-745"/>
    <x v="206"/>
    <x v="223"/>
    <s v="E-L-1"/>
    <n v="4"/>
    <x v="223"/>
    <s v="dmagowan6n@fc2.com"/>
    <x v="0"/>
    <x v="1"/>
    <s v="L"/>
    <x v="0"/>
    <n v="14.85"/>
    <n v="59.4"/>
    <x v="1"/>
    <x v="1"/>
    <x v="1"/>
  </r>
  <r>
    <s v="SGI-48226-857"/>
    <x v="207"/>
    <x v="224"/>
    <s v="A-M-2.5"/>
    <n v="6"/>
    <x v="224"/>
    <s v=""/>
    <x v="0"/>
    <x v="2"/>
    <s v="M"/>
    <x v="2"/>
    <n v="25.874999999999996"/>
    <n v="155.24999999999997"/>
    <x v="2"/>
    <x v="0"/>
    <x v="0"/>
  </r>
  <r>
    <s v="AHV-66988-037"/>
    <x v="208"/>
    <x v="225"/>
    <s v="R-M-2.5"/>
    <n v="2"/>
    <x v="225"/>
    <s v=""/>
    <x v="0"/>
    <x v="0"/>
    <s v="M"/>
    <x v="2"/>
    <n v="22.884999999999998"/>
    <n v="45.769999999999996"/>
    <x v="0"/>
    <x v="0"/>
    <x v="1"/>
  </r>
  <r>
    <s v="ISK-42066-094"/>
    <x v="209"/>
    <x v="226"/>
    <s v="E-D-1"/>
    <n v="3"/>
    <x v="226"/>
    <s v="srushbrooke6q@youku.com"/>
    <x v="0"/>
    <x v="1"/>
    <s v="D"/>
    <x v="0"/>
    <n v="12.15"/>
    <n v="36.450000000000003"/>
    <x v="1"/>
    <x v="2"/>
    <x v="0"/>
  </r>
  <r>
    <s v="FTC-35822-530"/>
    <x v="210"/>
    <x v="227"/>
    <s v="E-D-0.5"/>
    <n v="4"/>
    <x v="227"/>
    <s v="tdrynan6r@deviantart.com"/>
    <x v="0"/>
    <x v="1"/>
    <s v="D"/>
    <x v="1"/>
    <n v="7.29"/>
    <n v="29.16"/>
    <x v="1"/>
    <x v="2"/>
    <x v="0"/>
  </r>
  <r>
    <s v="VSS-56247-688"/>
    <x v="211"/>
    <x v="228"/>
    <s v="L-M-2.5"/>
    <n v="4"/>
    <x v="228"/>
    <s v="eyurkov6s@hud.gov"/>
    <x v="0"/>
    <x v="3"/>
    <s v="M"/>
    <x v="2"/>
    <n v="33.464999999999996"/>
    <n v="133.85999999999999"/>
    <x v="3"/>
    <x v="0"/>
    <x v="1"/>
  </r>
  <r>
    <s v="HVW-25584-144"/>
    <x v="212"/>
    <x v="229"/>
    <s v="L-L-0.2"/>
    <n v="5"/>
    <x v="229"/>
    <s v="lmallan6t@state.gov"/>
    <x v="0"/>
    <x v="3"/>
    <s v="L"/>
    <x v="3"/>
    <n v="4.7549999999999999"/>
    <n v="23.774999999999999"/>
    <x v="3"/>
    <x v="1"/>
    <x v="0"/>
  </r>
  <r>
    <s v="MUY-15309-209"/>
    <x v="213"/>
    <x v="230"/>
    <s v="L-D-1"/>
    <n v="3"/>
    <x v="230"/>
    <s v="gbentjens6u@netlog.com"/>
    <x v="2"/>
    <x v="3"/>
    <s v="D"/>
    <x v="0"/>
    <n v="12.95"/>
    <n v="38.849999999999994"/>
    <x v="3"/>
    <x v="2"/>
    <x v="1"/>
  </r>
  <r>
    <s v="VAJ-44572-469"/>
    <x v="63"/>
    <x v="231"/>
    <s v="R-L-0.2"/>
    <n v="6"/>
    <x v="231"/>
    <s v=""/>
    <x v="1"/>
    <x v="0"/>
    <s v="L"/>
    <x v="3"/>
    <n v="3.5849999999999995"/>
    <n v="21.509999999999998"/>
    <x v="0"/>
    <x v="1"/>
    <x v="0"/>
  </r>
  <r>
    <s v="YJU-84377-606"/>
    <x v="214"/>
    <x v="232"/>
    <s v="A-D-1"/>
    <n v="1"/>
    <x v="232"/>
    <s v="lentwistle6w@omniture.com"/>
    <x v="0"/>
    <x v="2"/>
    <s v="D"/>
    <x v="0"/>
    <n v="9.9499999999999993"/>
    <n v="9.9499999999999993"/>
    <x v="2"/>
    <x v="2"/>
    <x v="0"/>
  </r>
  <r>
    <s v="VNC-93921-469"/>
    <x v="215"/>
    <x v="233"/>
    <s v="L-L-1"/>
    <n v="1"/>
    <x v="233"/>
    <s v="zkiffe74@cyberchimps.com"/>
    <x v="0"/>
    <x v="3"/>
    <s v="L"/>
    <x v="0"/>
    <n v="15.85"/>
    <n v="15.85"/>
    <x v="3"/>
    <x v="1"/>
    <x v="0"/>
  </r>
  <r>
    <s v="OGB-91614-810"/>
    <x v="216"/>
    <x v="234"/>
    <s v="R-M-0.2"/>
    <n v="1"/>
    <x v="234"/>
    <s v="macott6y@pagesperso-orange.fr"/>
    <x v="0"/>
    <x v="0"/>
    <s v="M"/>
    <x v="3"/>
    <n v="2.9849999999999999"/>
    <n v="2.9849999999999999"/>
    <x v="0"/>
    <x v="0"/>
    <x v="0"/>
  </r>
  <r>
    <s v="BQI-61647-496"/>
    <x v="217"/>
    <x v="235"/>
    <s v="E-M-1"/>
    <n v="5"/>
    <x v="235"/>
    <s v="cheaviside6z@rediff.com"/>
    <x v="0"/>
    <x v="1"/>
    <s v="M"/>
    <x v="0"/>
    <n v="13.75"/>
    <n v="68.75"/>
    <x v="1"/>
    <x v="0"/>
    <x v="0"/>
  </r>
  <r>
    <s v="IOM-51636-823"/>
    <x v="218"/>
    <x v="236"/>
    <s v="A-D-1"/>
    <n v="3"/>
    <x v="236"/>
    <s v=""/>
    <x v="0"/>
    <x v="2"/>
    <s v="D"/>
    <x v="0"/>
    <n v="9.9499999999999993"/>
    <n v="29.849999999999998"/>
    <x v="2"/>
    <x v="2"/>
    <x v="1"/>
  </r>
  <r>
    <s v="GGD-38107-641"/>
    <x v="219"/>
    <x v="237"/>
    <s v="L-M-1"/>
    <n v="4"/>
    <x v="237"/>
    <s v="lkernan71@wsj.com"/>
    <x v="0"/>
    <x v="3"/>
    <s v="M"/>
    <x v="0"/>
    <n v="14.55"/>
    <n v="58.2"/>
    <x v="3"/>
    <x v="0"/>
    <x v="1"/>
  </r>
  <r>
    <s v="LTO-95975-728"/>
    <x v="220"/>
    <x v="238"/>
    <s v="R-L-0.5"/>
    <n v="4"/>
    <x v="238"/>
    <s v="rmclae72@dailymotion.com"/>
    <x v="2"/>
    <x v="0"/>
    <s v="L"/>
    <x v="1"/>
    <n v="7.169999999999999"/>
    <n v="28.679999999999996"/>
    <x v="0"/>
    <x v="1"/>
    <x v="1"/>
  </r>
  <r>
    <s v="IGM-84664-265"/>
    <x v="114"/>
    <x v="239"/>
    <s v="R-L-0.5"/>
    <n v="3"/>
    <x v="239"/>
    <s v="cblowfelde73@ustream.tv"/>
    <x v="0"/>
    <x v="0"/>
    <s v="L"/>
    <x v="1"/>
    <n v="7.169999999999999"/>
    <n v="21.509999999999998"/>
    <x v="0"/>
    <x v="1"/>
    <x v="1"/>
  </r>
  <r>
    <s v="SKO-45740-621"/>
    <x v="221"/>
    <x v="233"/>
    <s v="L-M-0.5"/>
    <n v="2"/>
    <x v="233"/>
    <s v="zkiffe74@cyberchimps.com"/>
    <x v="0"/>
    <x v="3"/>
    <s v="M"/>
    <x v="1"/>
    <n v="8.73"/>
    <n v="17.46"/>
    <x v="3"/>
    <x v="0"/>
    <x v="0"/>
  </r>
  <r>
    <s v="FOJ-02234-063"/>
    <x v="222"/>
    <x v="240"/>
    <s v="E-D-2.5"/>
    <n v="1"/>
    <x v="240"/>
    <s v="docalleran75@ucla.edu"/>
    <x v="0"/>
    <x v="1"/>
    <s v="D"/>
    <x v="2"/>
    <n v="27.945"/>
    <n v="27.945"/>
    <x v="1"/>
    <x v="2"/>
    <x v="0"/>
  </r>
  <r>
    <s v="MSJ-11909-468"/>
    <x v="188"/>
    <x v="241"/>
    <s v="E-D-2.5"/>
    <n v="5"/>
    <x v="241"/>
    <s v="ccromwell76@desdev.cn"/>
    <x v="0"/>
    <x v="1"/>
    <s v="D"/>
    <x v="2"/>
    <n v="27.945"/>
    <n v="139.72499999999999"/>
    <x v="1"/>
    <x v="2"/>
    <x v="1"/>
  </r>
  <r>
    <s v="DKB-78053-329"/>
    <x v="223"/>
    <x v="242"/>
    <s v="R-M-0.2"/>
    <n v="2"/>
    <x v="242"/>
    <s v="ihay77@lulu.com"/>
    <x v="2"/>
    <x v="0"/>
    <s v="M"/>
    <x v="3"/>
    <n v="2.9849999999999999"/>
    <n v="5.97"/>
    <x v="0"/>
    <x v="0"/>
    <x v="1"/>
  </r>
  <r>
    <s v="DFZ-45083-941"/>
    <x v="224"/>
    <x v="243"/>
    <s v="R-L-2.5"/>
    <n v="1"/>
    <x v="243"/>
    <s v="ttaffarello78@sciencedaily.com"/>
    <x v="0"/>
    <x v="0"/>
    <s v="L"/>
    <x v="2"/>
    <n v="27.484999999999996"/>
    <n v="27.484999999999996"/>
    <x v="0"/>
    <x v="1"/>
    <x v="0"/>
  </r>
  <r>
    <s v="OTA-40969-710"/>
    <x v="83"/>
    <x v="244"/>
    <s v="R-L-1"/>
    <n v="5"/>
    <x v="244"/>
    <s v="mcanty79@jigsy.com"/>
    <x v="0"/>
    <x v="0"/>
    <s v="L"/>
    <x v="0"/>
    <n v="11.95"/>
    <n v="59.75"/>
    <x v="0"/>
    <x v="1"/>
    <x v="0"/>
  </r>
  <r>
    <s v="GRH-45571-667"/>
    <x v="104"/>
    <x v="245"/>
    <s v="E-M-1"/>
    <n v="3"/>
    <x v="245"/>
    <s v="jkopke7a@auda.org.au"/>
    <x v="0"/>
    <x v="1"/>
    <s v="M"/>
    <x v="0"/>
    <n v="13.75"/>
    <n v="41.25"/>
    <x v="1"/>
    <x v="0"/>
    <x v="1"/>
  </r>
  <r>
    <s v="NXV-05302-067"/>
    <x v="225"/>
    <x v="246"/>
    <s v="L-M-2.5"/>
    <n v="4"/>
    <x v="246"/>
    <s v=""/>
    <x v="0"/>
    <x v="3"/>
    <s v="M"/>
    <x v="2"/>
    <n v="33.464999999999996"/>
    <n v="133.85999999999999"/>
    <x v="3"/>
    <x v="0"/>
    <x v="1"/>
  </r>
  <r>
    <s v="VZH-86274-142"/>
    <x v="226"/>
    <x v="247"/>
    <s v="R-L-1"/>
    <n v="5"/>
    <x v="247"/>
    <s v=""/>
    <x v="1"/>
    <x v="0"/>
    <s v="L"/>
    <x v="0"/>
    <n v="11.95"/>
    <n v="59.75"/>
    <x v="0"/>
    <x v="1"/>
    <x v="0"/>
  </r>
  <r>
    <s v="KIX-93248-135"/>
    <x v="227"/>
    <x v="248"/>
    <s v="A-D-0.5"/>
    <n v="1"/>
    <x v="248"/>
    <s v="vhellmore7d@bbc.co.uk"/>
    <x v="0"/>
    <x v="2"/>
    <s v="D"/>
    <x v="1"/>
    <n v="5.97"/>
    <n v="5.97"/>
    <x v="2"/>
    <x v="2"/>
    <x v="0"/>
  </r>
  <r>
    <s v="AXR-10962-010"/>
    <x v="180"/>
    <x v="249"/>
    <s v="E-D-1"/>
    <n v="2"/>
    <x v="249"/>
    <s v="mseawright7e@nbcnews.com"/>
    <x v="2"/>
    <x v="1"/>
    <s v="D"/>
    <x v="0"/>
    <n v="12.15"/>
    <n v="24.3"/>
    <x v="1"/>
    <x v="2"/>
    <x v="1"/>
  </r>
  <r>
    <s v="IHS-71573-008"/>
    <x v="228"/>
    <x v="250"/>
    <s v="E-D-0.2"/>
    <n v="6"/>
    <x v="250"/>
    <s v="snortheast7f@mashable.com"/>
    <x v="0"/>
    <x v="1"/>
    <s v="D"/>
    <x v="3"/>
    <n v="3.645"/>
    <n v="21.87"/>
    <x v="1"/>
    <x v="2"/>
    <x v="0"/>
  </r>
  <r>
    <s v="QTR-19001-114"/>
    <x v="229"/>
    <x v="195"/>
    <s v="A-D-1"/>
    <n v="2"/>
    <x v="195"/>
    <s v="aattwater5u@wikia.com"/>
    <x v="0"/>
    <x v="2"/>
    <s v="D"/>
    <x v="0"/>
    <n v="9.9499999999999993"/>
    <n v="19.899999999999999"/>
    <x v="2"/>
    <x v="2"/>
    <x v="0"/>
  </r>
  <r>
    <s v="WBK-62297-910"/>
    <x v="230"/>
    <x v="251"/>
    <s v="A-D-0.2"/>
    <n v="2"/>
    <x v="251"/>
    <s v="mfearon7h@reverbnation.com"/>
    <x v="0"/>
    <x v="2"/>
    <s v="D"/>
    <x v="3"/>
    <n v="2.9849999999999999"/>
    <n v="5.97"/>
    <x v="2"/>
    <x v="2"/>
    <x v="1"/>
  </r>
  <r>
    <s v="OGY-19377-175"/>
    <x v="231"/>
    <x v="252"/>
    <s v="E-D-0.5"/>
    <n v="1"/>
    <x v="252"/>
    <s v=""/>
    <x v="1"/>
    <x v="1"/>
    <s v="D"/>
    <x v="1"/>
    <n v="7.29"/>
    <n v="7.29"/>
    <x v="1"/>
    <x v="2"/>
    <x v="0"/>
  </r>
  <r>
    <s v="ESR-66651-814"/>
    <x v="80"/>
    <x v="253"/>
    <s v="A-D-0.2"/>
    <n v="4"/>
    <x v="253"/>
    <s v="jsisneros7j@a8.net"/>
    <x v="0"/>
    <x v="2"/>
    <s v="D"/>
    <x v="3"/>
    <n v="2.9849999999999999"/>
    <n v="11.94"/>
    <x v="2"/>
    <x v="2"/>
    <x v="0"/>
  </r>
  <r>
    <s v="CPX-46916-770"/>
    <x v="232"/>
    <x v="254"/>
    <s v="R-L-1"/>
    <n v="6"/>
    <x v="254"/>
    <s v="zcarlson7k@bigcartel.com"/>
    <x v="1"/>
    <x v="0"/>
    <s v="L"/>
    <x v="0"/>
    <n v="11.95"/>
    <n v="71.699999999999989"/>
    <x v="0"/>
    <x v="1"/>
    <x v="0"/>
  </r>
  <r>
    <s v="MDC-03318-645"/>
    <x v="233"/>
    <x v="255"/>
    <s v="A-L-0.2"/>
    <n v="2"/>
    <x v="255"/>
    <s v="wmaddox7l@timesonline.co.uk"/>
    <x v="0"/>
    <x v="2"/>
    <s v="L"/>
    <x v="3"/>
    <n v="3.8849999999999998"/>
    <n v="7.77"/>
    <x v="2"/>
    <x v="1"/>
    <x v="1"/>
  </r>
  <r>
    <s v="SFF-86059-407"/>
    <x v="234"/>
    <x v="256"/>
    <s v="A-M-2.5"/>
    <n v="1"/>
    <x v="256"/>
    <s v="dhedlestone7m@craigslist.org"/>
    <x v="0"/>
    <x v="2"/>
    <s v="M"/>
    <x v="2"/>
    <n v="25.874999999999996"/>
    <n v="25.874999999999996"/>
    <x v="2"/>
    <x v="0"/>
    <x v="1"/>
  </r>
  <r>
    <s v="SCL-94540-788"/>
    <x v="235"/>
    <x v="257"/>
    <s v="E-L-2.5"/>
    <n v="6"/>
    <x v="257"/>
    <s v="tcrowthe7n@europa.eu"/>
    <x v="0"/>
    <x v="1"/>
    <s v="L"/>
    <x v="2"/>
    <n v="34.154999999999994"/>
    <n v="204.92999999999995"/>
    <x v="1"/>
    <x v="1"/>
    <x v="1"/>
  </r>
  <r>
    <s v="HVU-21634-076"/>
    <x v="236"/>
    <x v="258"/>
    <s v="R-L-2.5"/>
    <n v="4"/>
    <x v="258"/>
    <s v="dbury7o@tinyurl.com"/>
    <x v="1"/>
    <x v="0"/>
    <s v="L"/>
    <x v="2"/>
    <n v="27.484999999999996"/>
    <n v="109.93999999999998"/>
    <x v="0"/>
    <x v="1"/>
    <x v="0"/>
  </r>
  <r>
    <s v="XUS-73326-418"/>
    <x v="237"/>
    <x v="259"/>
    <s v="E-L-1"/>
    <n v="6"/>
    <x v="259"/>
    <s v="gbroadbear7p@omniture.com"/>
    <x v="0"/>
    <x v="1"/>
    <s v="L"/>
    <x v="0"/>
    <n v="14.85"/>
    <n v="89.1"/>
    <x v="1"/>
    <x v="1"/>
    <x v="1"/>
  </r>
  <r>
    <s v="XWD-18933-006"/>
    <x v="238"/>
    <x v="260"/>
    <s v="A-L-0.2"/>
    <n v="2"/>
    <x v="260"/>
    <s v="epalfrey7q@devhub.com"/>
    <x v="0"/>
    <x v="2"/>
    <s v="L"/>
    <x v="3"/>
    <n v="3.8849999999999998"/>
    <n v="7.77"/>
    <x v="2"/>
    <x v="1"/>
    <x v="0"/>
  </r>
  <r>
    <s v="HPD-65272-772"/>
    <x v="52"/>
    <x v="261"/>
    <s v="L-M-2.5"/>
    <n v="1"/>
    <x v="261"/>
    <s v="pmetrick7r@rakuten.co.jp"/>
    <x v="0"/>
    <x v="3"/>
    <s v="M"/>
    <x v="2"/>
    <n v="33.464999999999996"/>
    <n v="33.464999999999996"/>
    <x v="3"/>
    <x v="0"/>
    <x v="0"/>
  </r>
  <r>
    <s v="JEG-93140-224"/>
    <x v="146"/>
    <x v="262"/>
    <s v="E-M-0.5"/>
    <n v="5"/>
    <x v="262"/>
    <s v=""/>
    <x v="0"/>
    <x v="1"/>
    <s v="M"/>
    <x v="1"/>
    <n v="8.25"/>
    <n v="41.25"/>
    <x v="1"/>
    <x v="0"/>
    <x v="0"/>
  </r>
  <r>
    <s v="NNH-62058-950"/>
    <x v="239"/>
    <x v="263"/>
    <s v="E-L-1"/>
    <n v="4"/>
    <x v="263"/>
    <s v="kkarby7t@sbwire.com"/>
    <x v="0"/>
    <x v="1"/>
    <s v="L"/>
    <x v="0"/>
    <n v="14.85"/>
    <n v="59.4"/>
    <x v="1"/>
    <x v="1"/>
    <x v="0"/>
  </r>
  <r>
    <s v="LTD-71429-845"/>
    <x v="240"/>
    <x v="264"/>
    <s v="A-L-0.5"/>
    <n v="1"/>
    <x v="264"/>
    <s v="fcrumpe7u@ftc.gov"/>
    <x v="2"/>
    <x v="2"/>
    <s v="L"/>
    <x v="1"/>
    <n v="7.77"/>
    <n v="7.77"/>
    <x v="2"/>
    <x v="1"/>
    <x v="1"/>
  </r>
  <r>
    <s v="MPV-26985-215"/>
    <x v="241"/>
    <x v="265"/>
    <s v="R-D-0.5"/>
    <n v="1"/>
    <x v="265"/>
    <s v="achatto7v@sakura.ne.jp"/>
    <x v="2"/>
    <x v="0"/>
    <s v="D"/>
    <x v="1"/>
    <n v="5.3699999999999992"/>
    <n v="5.3699999999999992"/>
    <x v="0"/>
    <x v="2"/>
    <x v="0"/>
  </r>
  <r>
    <s v="IYO-10245-081"/>
    <x v="242"/>
    <x v="266"/>
    <s v="E-M-2.5"/>
    <n v="3"/>
    <x v="266"/>
    <s v=""/>
    <x v="0"/>
    <x v="1"/>
    <s v="M"/>
    <x v="2"/>
    <n v="31.624999999999996"/>
    <n v="94.874999999999986"/>
    <x v="1"/>
    <x v="0"/>
    <x v="1"/>
  </r>
  <r>
    <s v="BYZ-39669-954"/>
    <x v="243"/>
    <x v="267"/>
    <s v="L-L-2.5"/>
    <n v="1"/>
    <x v="267"/>
    <s v=""/>
    <x v="0"/>
    <x v="3"/>
    <s v="L"/>
    <x v="2"/>
    <n v="36.454999999999998"/>
    <n v="36.454999999999998"/>
    <x v="3"/>
    <x v="1"/>
    <x v="1"/>
  </r>
  <r>
    <s v="EFB-72860-209"/>
    <x v="244"/>
    <x v="268"/>
    <s v="A-M-0.2"/>
    <n v="4"/>
    <x v="268"/>
    <s v="bmergue7y@umn.edu"/>
    <x v="0"/>
    <x v="2"/>
    <s v="M"/>
    <x v="3"/>
    <n v="3.375"/>
    <n v="13.5"/>
    <x v="2"/>
    <x v="0"/>
    <x v="0"/>
  </r>
  <r>
    <s v="GMM-72397-378"/>
    <x v="245"/>
    <x v="269"/>
    <s v="R-L-0.2"/>
    <n v="4"/>
    <x v="269"/>
    <s v="kpatise7z@jigsy.com"/>
    <x v="0"/>
    <x v="0"/>
    <s v="L"/>
    <x v="3"/>
    <n v="3.5849999999999995"/>
    <n v="14.339999999999998"/>
    <x v="0"/>
    <x v="1"/>
    <x v="1"/>
  </r>
  <r>
    <s v="LYP-52345-883"/>
    <x v="246"/>
    <x v="270"/>
    <s v="E-M-0.5"/>
    <n v="1"/>
    <x v="270"/>
    <s v=""/>
    <x v="1"/>
    <x v="1"/>
    <s v="M"/>
    <x v="1"/>
    <n v="8.25"/>
    <n v="8.25"/>
    <x v="1"/>
    <x v="0"/>
    <x v="0"/>
  </r>
  <r>
    <s v="DFK-35846-692"/>
    <x v="247"/>
    <x v="271"/>
    <s v="R-D-0.2"/>
    <n v="5"/>
    <x v="271"/>
    <s v=""/>
    <x v="0"/>
    <x v="0"/>
    <s v="D"/>
    <x v="3"/>
    <n v="2.6849999999999996"/>
    <n v="13.424999999999997"/>
    <x v="0"/>
    <x v="2"/>
    <x v="0"/>
  </r>
  <r>
    <s v="XAH-93337-609"/>
    <x v="248"/>
    <x v="272"/>
    <s v="A-D-1"/>
    <n v="5"/>
    <x v="272"/>
    <s v="dduke82@vkontakte.ru"/>
    <x v="0"/>
    <x v="2"/>
    <s v="D"/>
    <x v="0"/>
    <n v="9.9499999999999993"/>
    <n v="49.75"/>
    <x v="2"/>
    <x v="2"/>
    <x v="1"/>
  </r>
  <r>
    <s v="QKA-72582-644"/>
    <x v="249"/>
    <x v="273"/>
    <s v="E-M-0.5"/>
    <n v="2"/>
    <x v="273"/>
    <s v=""/>
    <x v="1"/>
    <x v="1"/>
    <s v="M"/>
    <x v="1"/>
    <n v="8.25"/>
    <n v="16.5"/>
    <x v="1"/>
    <x v="0"/>
    <x v="1"/>
  </r>
  <r>
    <s v="ZDK-84567-102"/>
    <x v="250"/>
    <x v="274"/>
    <s v="A-D-0.5"/>
    <n v="3"/>
    <x v="274"/>
    <s v="ihussey84@mapy.cz"/>
    <x v="0"/>
    <x v="2"/>
    <s v="D"/>
    <x v="1"/>
    <n v="5.97"/>
    <n v="17.91"/>
    <x v="2"/>
    <x v="2"/>
    <x v="1"/>
  </r>
  <r>
    <s v="WAV-38301-984"/>
    <x v="251"/>
    <x v="275"/>
    <s v="A-D-0.5"/>
    <n v="5"/>
    <x v="275"/>
    <s v="cpinkerton85@upenn.edu"/>
    <x v="0"/>
    <x v="2"/>
    <s v="D"/>
    <x v="1"/>
    <n v="5.97"/>
    <n v="29.849999999999998"/>
    <x v="2"/>
    <x v="2"/>
    <x v="1"/>
  </r>
  <r>
    <s v="KZR-33023-209"/>
    <x v="177"/>
    <x v="276"/>
    <s v="E-L-1"/>
    <n v="3"/>
    <x v="276"/>
    <s v=""/>
    <x v="0"/>
    <x v="1"/>
    <s v="L"/>
    <x v="0"/>
    <n v="14.85"/>
    <n v="44.55"/>
    <x v="1"/>
    <x v="1"/>
    <x v="1"/>
  </r>
  <r>
    <s v="ULM-49433-003"/>
    <x v="252"/>
    <x v="277"/>
    <s v="E-M-1"/>
    <n v="2"/>
    <x v="277"/>
    <s v=""/>
    <x v="0"/>
    <x v="1"/>
    <s v="M"/>
    <x v="0"/>
    <n v="13.75"/>
    <n v="27.5"/>
    <x v="1"/>
    <x v="0"/>
    <x v="1"/>
  </r>
  <r>
    <s v="SIB-83254-136"/>
    <x v="253"/>
    <x v="278"/>
    <s v="R-M-0.5"/>
    <n v="6"/>
    <x v="278"/>
    <s v="dvizor88@furl.net"/>
    <x v="0"/>
    <x v="0"/>
    <s v="M"/>
    <x v="1"/>
    <n v="5.97"/>
    <n v="35.82"/>
    <x v="0"/>
    <x v="0"/>
    <x v="0"/>
  </r>
  <r>
    <s v="NOK-50349-551"/>
    <x v="254"/>
    <x v="279"/>
    <s v="R-D-0.5"/>
    <n v="3"/>
    <x v="279"/>
    <s v="esedgebeer89@oaic.gov.au"/>
    <x v="0"/>
    <x v="0"/>
    <s v="D"/>
    <x v="1"/>
    <n v="5.3699999999999992"/>
    <n v="16.11"/>
    <x v="0"/>
    <x v="2"/>
    <x v="0"/>
  </r>
  <r>
    <s v="YIS-96268-844"/>
    <x v="227"/>
    <x v="280"/>
    <s v="E-L-0.2"/>
    <n v="6"/>
    <x v="280"/>
    <s v="klestrange8a@lulu.com"/>
    <x v="0"/>
    <x v="1"/>
    <s v="L"/>
    <x v="3"/>
    <n v="4.4550000000000001"/>
    <n v="26.73"/>
    <x v="1"/>
    <x v="1"/>
    <x v="0"/>
  </r>
  <r>
    <s v="CXI-04933-855"/>
    <x v="110"/>
    <x v="281"/>
    <s v="E-L-2.5"/>
    <n v="6"/>
    <x v="281"/>
    <s v="ltanti8b@techcrunch.com"/>
    <x v="0"/>
    <x v="1"/>
    <s v="L"/>
    <x v="2"/>
    <n v="34.154999999999994"/>
    <n v="204.92999999999995"/>
    <x v="1"/>
    <x v="1"/>
    <x v="0"/>
  </r>
  <r>
    <s v="IZU-90429-382"/>
    <x v="182"/>
    <x v="282"/>
    <s v="A-L-1"/>
    <n v="3"/>
    <x v="282"/>
    <s v="ade8c@1und1.de"/>
    <x v="0"/>
    <x v="2"/>
    <s v="L"/>
    <x v="0"/>
    <n v="12.95"/>
    <n v="38.849999999999994"/>
    <x v="2"/>
    <x v="1"/>
    <x v="0"/>
  </r>
  <r>
    <s v="WIT-40912-783"/>
    <x v="255"/>
    <x v="283"/>
    <s v="L-D-0.2"/>
    <n v="4"/>
    <x v="283"/>
    <s v="tjedrachowicz8d@acquirethisname.com"/>
    <x v="0"/>
    <x v="3"/>
    <s v="D"/>
    <x v="3"/>
    <n v="3.8849999999999998"/>
    <n v="15.54"/>
    <x v="3"/>
    <x v="2"/>
    <x v="0"/>
  </r>
  <r>
    <s v="PSD-57291-590"/>
    <x v="256"/>
    <x v="284"/>
    <s v="A-M-0.5"/>
    <n v="1"/>
    <x v="284"/>
    <s v="pstonner8e@moonfruit.com"/>
    <x v="0"/>
    <x v="2"/>
    <s v="M"/>
    <x v="1"/>
    <n v="6.75"/>
    <n v="6.75"/>
    <x v="2"/>
    <x v="0"/>
    <x v="1"/>
  </r>
  <r>
    <s v="GOI-41472-677"/>
    <x v="3"/>
    <x v="285"/>
    <s v="E-D-2.5"/>
    <n v="4"/>
    <x v="285"/>
    <s v="dtingly8f@goo.ne.jp"/>
    <x v="0"/>
    <x v="1"/>
    <s v="D"/>
    <x v="2"/>
    <n v="27.945"/>
    <n v="111.78"/>
    <x v="1"/>
    <x v="2"/>
    <x v="0"/>
  </r>
  <r>
    <s v="KTX-17944-494"/>
    <x v="257"/>
    <x v="286"/>
    <s v="A-L-0.2"/>
    <n v="1"/>
    <x v="286"/>
    <s v="crushe8n@about.me"/>
    <x v="0"/>
    <x v="2"/>
    <s v="L"/>
    <x v="3"/>
    <n v="3.8849999999999998"/>
    <n v="3.8849999999999998"/>
    <x v="2"/>
    <x v="1"/>
    <x v="0"/>
  </r>
  <r>
    <s v="RDM-99811-230"/>
    <x v="258"/>
    <x v="287"/>
    <s v="L-M-0.2"/>
    <n v="5"/>
    <x v="287"/>
    <s v="bchecci8h@usa.gov"/>
    <x v="2"/>
    <x v="3"/>
    <s v="M"/>
    <x v="3"/>
    <n v="4.3650000000000002"/>
    <n v="21.825000000000003"/>
    <x v="3"/>
    <x v="0"/>
    <x v="1"/>
  </r>
  <r>
    <s v="JTU-55897-581"/>
    <x v="259"/>
    <x v="288"/>
    <s v="R-M-0.2"/>
    <n v="5"/>
    <x v="288"/>
    <s v="jbagot8i@mac.com"/>
    <x v="0"/>
    <x v="0"/>
    <s v="M"/>
    <x v="3"/>
    <n v="2.9849999999999999"/>
    <n v="14.924999999999999"/>
    <x v="0"/>
    <x v="0"/>
    <x v="1"/>
  </r>
  <r>
    <s v="CRK-07584-240"/>
    <x v="260"/>
    <x v="289"/>
    <s v="A-M-1"/>
    <n v="3"/>
    <x v="289"/>
    <s v="ebeeble8j@soundcloud.com"/>
    <x v="0"/>
    <x v="2"/>
    <s v="M"/>
    <x v="0"/>
    <n v="11.25"/>
    <n v="33.75"/>
    <x v="2"/>
    <x v="0"/>
    <x v="0"/>
  </r>
  <r>
    <s v="MKE-75518-399"/>
    <x v="261"/>
    <x v="290"/>
    <s v="A-M-1"/>
    <n v="3"/>
    <x v="290"/>
    <s v="cfluin8k@flickr.com"/>
    <x v="2"/>
    <x v="2"/>
    <s v="M"/>
    <x v="0"/>
    <n v="11.25"/>
    <n v="33.75"/>
    <x v="2"/>
    <x v="0"/>
    <x v="1"/>
  </r>
  <r>
    <s v="AEL-51169-725"/>
    <x v="262"/>
    <x v="291"/>
    <s v="L-M-0.2"/>
    <n v="6"/>
    <x v="291"/>
    <s v="ebletsor8l@vinaora.com"/>
    <x v="0"/>
    <x v="3"/>
    <s v="M"/>
    <x v="3"/>
    <n v="4.3650000000000002"/>
    <n v="26.19"/>
    <x v="3"/>
    <x v="0"/>
    <x v="0"/>
  </r>
  <r>
    <s v="ZGM-83108-823"/>
    <x v="263"/>
    <x v="292"/>
    <s v="E-L-1"/>
    <n v="1"/>
    <x v="292"/>
    <s v="pbrydell8m@bloglovin.com"/>
    <x v="1"/>
    <x v="1"/>
    <s v="L"/>
    <x v="0"/>
    <n v="14.85"/>
    <n v="14.85"/>
    <x v="1"/>
    <x v="1"/>
    <x v="1"/>
  </r>
  <r>
    <s v="JBP-78754-392"/>
    <x v="212"/>
    <x v="286"/>
    <s v="E-M-2.5"/>
    <n v="6"/>
    <x v="286"/>
    <s v="crushe8n@about.me"/>
    <x v="0"/>
    <x v="1"/>
    <s v="M"/>
    <x v="2"/>
    <n v="31.624999999999996"/>
    <n v="189.74999999999997"/>
    <x v="1"/>
    <x v="0"/>
    <x v="0"/>
  </r>
  <r>
    <s v="RNH-54912-747"/>
    <x v="187"/>
    <x v="293"/>
    <s v="R-M-0.5"/>
    <n v="1"/>
    <x v="293"/>
    <s v="nleethem8o@mac.com"/>
    <x v="0"/>
    <x v="0"/>
    <s v="M"/>
    <x v="1"/>
    <n v="5.97"/>
    <n v="5.97"/>
    <x v="0"/>
    <x v="0"/>
    <x v="0"/>
  </r>
  <r>
    <s v="JDS-33440-914"/>
    <x v="248"/>
    <x v="294"/>
    <s v="R-M-1"/>
    <n v="3"/>
    <x v="294"/>
    <s v="anesfield8p@people.com.cn"/>
    <x v="2"/>
    <x v="0"/>
    <s v="M"/>
    <x v="0"/>
    <n v="9.9499999999999993"/>
    <n v="29.849999999999998"/>
    <x v="0"/>
    <x v="0"/>
    <x v="0"/>
  </r>
  <r>
    <s v="SYX-48878-182"/>
    <x v="264"/>
    <x v="295"/>
    <s v="R-D-1"/>
    <n v="5"/>
    <x v="295"/>
    <s v=""/>
    <x v="0"/>
    <x v="0"/>
    <s v="D"/>
    <x v="0"/>
    <n v="8.9499999999999993"/>
    <n v="44.75"/>
    <x v="0"/>
    <x v="2"/>
    <x v="1"/>
  </r>
  <r>
    <s v="ZGD-94763-868"/>
    <x v="265"/>
    <x v="296"/>
    <s v="E-L-2.5"/>
    <n v="1"/>
    <x v="296"/>
    <s v="mbrockway8r@ibm.com"/>
    <x v="0"/>
    <x v="1"/>
    <s v="L"/>
    <x v="2"/>
    <n v="34.154999999999994"/>
    <n v="34.154999999999994"/>
    <x v="1"/>
    <x v="1"/>
    <x v="0"/>
  </r>
  <r>
    <s v="CZY-70361-485"/>
    <x v="266"/>
    <x v="297"/>
    <s v="E-L-2.5"/>
    <n v="6"/>
    <x v="297"/>
    <s v="nlush8s@dedecms.com"/>
    <x v="1"/>
    <x v="1"/>
    <s v="L"/>
    <x v="2"/>
    <n v="34.154999999999994"/>
    <n v="204.92999999999995"/>
    <x v="1"/>
    <x v="1"/>
    <x v="1"/>
  </r>
  <r>
    <s v="RJR-12175-899"/>
    <x v="267"/>
    <x v="298"/>
    <s v="E-D-0.5"/>
    <n v="3"/>
    <x v="298"/>
    <s v="smcmillian8t@csmonitor.com"/>
    <x v="0"/>
    <x v="1"/>
    <s v="D"/>
    <x v="1"/>
    <n v="7.29"/>
    <n v="21.87"/>
    <x v="1"/>
    <x v="2"/>
    <x v="1"/>
  </r>
  <r>
    <s v="ELB-07929-407"/>
    <x v="204"/>
    <x v="299"/>
    <s v="A-M-2.5"/>
    <n v="2"/>
    <x v="299"/>
    <s v="tbennison8u@google.cn"/>
    <x v="0"/>
    <x v="2"/>
    <s v="M"/>
    <x v="2"/>
    <n v="25.874999999999996"/>
    <n v="51.749999999999993"/>
    <x v="2"/>
    <x v="0"/>
    <x v="0"/>
  </r>
  <r>
    <s v="UJQ-54441-340"/>
    <x v="268"/>
    <x v="300"/>
    <s v="E-M-0.2"/>
    <n v="2"/>
    <x v="300"/>
    <s v="gtweed8v@yolasite.com"/>
    <x v="0"/>
    <x v="1"/>
    <s v="M"/>
    <x v="3"/>
    <n v="4.125"/>
    <n v="8.25"/>
    <x v="1"/>
    <x v="0"/>
    <x v="0"/>
  </r>
  <r>
    <s v="UJQ-54441-340"/>
    <x v="268"/>
    <x v="300"/>
    <s v="A-L-0.2"/>
    <n v="5"/>
    <x v="300"/>
    <s v="gtweed8v@yolasite.com"/>
    <x v="0"/>
    <x v="2"/>
    <s v="L"/>
    <x v="3"/>
    <n v="3.8849999999999998"/>
    <n v="19.424999999999997"/>
    <x v="2"/>
    <x v="1"/>
    <x v="0"/>
  </r>
  <r>
    <s v="OWY-43108-475"/>
    <x v="269"/>
    <x v="301"/>
    <s v="A-M-0.2"/>
    <n v="6"/>
    <x v="301"/>
    <s v="ggoggin8x@wix.com"/>
    <x v="1"/>
    <x v="2"/>
    <s v="M"/>
    <x v="3"/>
    <n v="3.375"/>
    <n v="20.25"/>
    <x v="2"/>
    <x v="0"/>
    <x v="0"/>
  </r>
  <r>
    <s v="GNO-91911-159"/>
    <x v="145"/>
    <x v="302"/>
    <s v="L-D-0.5"/>
    <n v="3"/>
    <x v="302"/>
    <s v="sjeyness8y@biglobe.ne.jp"/>
    <x v="1"/>
    <x v="3"/>
    <s v="D"/>
    <x v="1"/>
    <n v="7.77"/>
    <n v="23.31"/>
    <x v="3"/>
    <x v="2"/>
    <x v="1"/>
  </r>
  <r>
    <s v="CNY-06284-066"/>
    <x v="270"/>
    <x v="303"/>
    <s v="E-D-0.2"/>
    <n v="5"/>
    <x v="303"/>
    <s v="dbonhome8z@shinystat.com"/>
    <x v="0"/>
    <x v="1"/>
    <s v="D"/>
    <x v="3"/>
    <n v="3.645"/>
    <n v="18.225000000000001"/>
    <x v="1"/>
    <x v="2"/>
    <x v="0"/>
  </r>
  <r>
    <s v="OQS-46321-904"/>
    <x v="271"/>
    <x v="304"/>
    <s v="E-M-1"/>
    <n v="1"/>
    <x v="304"/>
    <s v=""/>
    <x v="0"/>
    <x v="1"/>
    <s v="M"/>
    <x v="0"/>
    <n v="13.75"/>
    <n v="13.75"/>
    <x v="1"/>
    <x v="0"/>
    <x v="1"/>
  </r>
  <r>
    <s v="IBW-87442-480"/>
    <x v="272"/>
    <x v="305"/>
    <s v="A-L-2.5"/>
    <n v="1"/>
    <x v="305"/>
    <s v="tle91@epa.gov"/>
    <x v="0"/>
    <x v="2"/>
    <s v="L"/>
    <x v="2"/>
    <n v="29.784999999999997"/>
    <n v="29.784999999999997"/>
    <x v="2"/>
    <x v="1"/>
    <x v="0"/>
  </r>
  <r>
    <s v="DGZ-82537-477"/>
    <x v="252"/>
    <x v="306"/>
    <s v="R-D-1"/>
    <n v="5"/>
    <x v="306"/>
    <s v=""/>
    <x v="0"/>
    <x v="0"/>
    <s v="D"/>
    <x v="0"/>
    <n v="8.9499999999999993"/>
    <n v="44.75"/>
    <x v="0"/>
    <x v="2"/>
    <x v="1"/>
  </r>
  <r>
    <s v="LPS-39089-432"/>
    <x v="273"/>
    <x v="307"/>
    <s v="R-D-1"/>
    <n v="5"/>
    <x v="307"/>
    <s v="balldridge93@yandex.ru"/>
    <x v="0"/>
    <x v="0"/>
    <s v="D"/>
    <x v="0"/>
    <n v="8.9499999999999993"/>
    <n v="44.75"/>
    <x v="0"/>
    <x v="2"/>
    <x v="0"/>
  </r>
  <r>
    <s v="MQU-86100-929"/>
    <x v="274"/>
    <x v="308"/>
    <s v="L-L-0.5"/>
    <n v="4"/>
    <x v="308"/>
    <s v=""/>
    <x v="0"/>
    <x v="3"/>
    <s v="L"/>
    <x v="1"/>
    <n v="9.51"/>
    <n v="38.04"/>
    <x v="3"/>
    <x v="1"/>
    <x v="0"/>
  </r>
  <r>
    <s v="XUR-14132-391"/>
    <x v="275"/>
    <x v="309"/>
    <s v="R-D-0.5"/>
    <n v="4"/>
    <x v="309"/>
    <s v="lgoodger95@guardian.co.uk"/>
    <x v="0"/>
    <x v="0"/>
    <s v="D"/>
    <x v="1"/>
    <n v="5.3699999999999992"/>
    <n v="21.479999999999997"/>
    <x v="0"/>
    <x v="2"/>
    <x v="0"/>
  </r>
  <r>
    <s v="OVI-27064-381"/>
    <x v="276"/>
    <x v="298"/>
    <s v="R-D-0.5"/>
    <n v="3"/>
    <x v="298"/>
    <s v="smcmillian8t@csmonitor.com"/>
    <x v="0"/>
    <x v="0"/>
    <s v="D"/>
    <x v="1"/>
    <n v="5.3699999999999992"/>
    <n v="16.11"/>
    <x v="0"/>
    <x v="2"/>
    <x v="1"/>
  </r>
  <r>
    <s v="SHP-17012-870"/>
    <x v="277"/>
    <x v="310"/>
    <s v="R-M-2.5"/>
    <n v="1"/>
    <x v="310"/>
    <s v="cdrewett97@wikipedia.org"/>
    <x v="0"/>
    <x v="0"/>
    <s v="M"/>
    <x v="2"/>
    <n v="22.884999999999998"/>
    <n v="22.884999999999998"/>
    <x v="0"/>
    <x v="0"/>
    <x v="0"/>
  </r>
  <r>
    <s v="FDY-03414-903"/>
    <x v="278"/>
    <x v="311"/>
    <s v="A-D-0.5"/>
    <n v="3"/>
    <x v="311"/>
    <s v="qparsons98@blogtalkradio.com"/>
    <x v="0"/>
    <x v="2"/>
    <s v="D"/>
    <x v="1"/>
    <n v="5.97"/>
    <n v="17.91"/>
    <x v="2"/>
    <x v="2"/>
    <x v="0"/>
  </r>
  <r>
    <s v="WXT-85291-143"/>
    <x v="279"/>
    <x v="312"/>
    <s v="R-M-0.5"/>
    <n v="4"/>
    <x v="312"/>
    <s v="vceely99@auda.org.au"/>
    <x v="0"/>
    <x v="0"/>
    <s v="M"/>
    <x v="1"/>
    <n v="5.97"/>
    <n v="23.88"/>
    <x v="0"/>
    <x v="0"/>
    <x v="0"/>
  </r>
  <r>
    <s v="QNP-18893-547"/>
    <x v="280"/>
    <x v="313"/>
    <s v="R-L-1"/>
    <n v="5"/>
    <x v="313"/>
    <s v=""/>
    <x v="0"/>
    <x v="0"/>
    <s v="L"/>
    <x v="0"/>
    <n v="11.95"/>
    <n v="59.75"/>
    <x v="0"/>
    <x v="1"/>
    <x v="1"/>
  </r>
  <r>
    <s v="DOH-92927-530"/>
    <x v="281"/>
    <x v="314"/>
    <s v="L-L-0.2"/>
    <n v="6"/>
    <x v="314"/>
    <s v="cvasiliev9b@discuz.net"/>
    <x v="0"/>
    <x v="3"/>
    <s v="L"/>
    <x v="3"/>
    <n v="4.7549999999999999"/>
    <n v="28.53"/>
    <x v="3"/>
    <x v="1"/>
    <x v="0"/>
  </r>
  <r>
    <s v="HGJ-82768-173"/>
    <x v="282"/>
    <x v="315"/>
    <s v="A-M-1"/>
    <n v="4"/>
    <x v="315"/>
    <s v="tomoylan9c@liveinternet.ru"/>
    <x v="2"/>
    <x v="2"/>
    <s v="M"/>
    <x v="0"/>
    <n v="11.25"/>
    <n v="45"/>
    <x v="2"/>
    <x v="0"/>
    <x v="1"/>
  </r>
  <r>
    <s v="YPT-95383-088"/>
    <x v="283"/>
    <x v="306"/>
    <s v="E-D-2.5"/>
    <n v="2"/>
    <x v="306"/>
    <s v=""/>
    <x v="0"/>
    <x v="1"/>
    <s v="D"/>
    <x v="2"/>
    <n v="27.945"/>
    <n v="55.89"/>
    <x v="1"/>
    <x v="2"/>
    <x v="1"/>
  </r>
  <r>
    <s v="OYH-16533-767"/>
    <x v="284"/>
    <x v="316"/>
    <s v="E-L-1"/>
    <n v="4"/>
    <x v="316"/>
    <s v="wfetherston9e@constantcontact.com"/>
    <x v="0"/>
    <x v="1"/>
    <s v="L"/>
    <x v="0"/>
    <n v="14.85"/>
    <n v="59.4"/>
    <x v="1"/>
    <x v="1"/>
    <x v="1"/>
  </r>
  <r>
    <s v="DWW-28642-549"/>
    <x v="285"/>
    <x v="317"/>
    <s v="E-D-0.2"/>
    <n v="2"/>
    <x v="317"/>
    <s v="erasmus9f@techcrunch.com"/>
    <x v="0"/>
    <x v="1"/>
    <s v="D"/>
    <x v="3"/>
    <n v="3.645"/>
    <n v="7.29"/>
    <x v="1"/>
    <x v="2"/>
    <x v="0"/>
  </r>
  <r>
    <s v="CGO-79583-871"/>
    <x v="286"/>
    <x v="318"/>
    <s v="E-D-0.5"/>
    <n v="1"/>
    <x v="318"/>
    <s v="wgiorgioni9g@wikipedia.org"/>
    <x v="0"/>
    <x v="1"/>
    <s v="D"/>
    <x v="1"/>
    <n v="7.29"/>
    <n v="7.29"/>
    <x v="1"/>
    <x v="2"/>
    <x v="0"/>
  </r>
  <r>
    <s v="TFY-52090-386"/>
    <x v="287"/>
    <x v="319"/>
    <s v="E-L-0.5"/>
    <n v="2"/>
    <x v="319"/>
    <s v="lscargle9h@myspace.com"/>
    <x v="0"/>
    <x v="1"/>
    <s v="L"/>
    <x v="1"/>
    <n v="8.91"/>
    <n v="17.82"/>
    <x v="1"/>
    <x v="1"/>
    <x v="1"/>
  </r>
  <r>
    <s v="TFY-52090-386"/>
    <x v="287"/>
    <x v="319"/>
    <s v="L-D-0.5"/>
    <n v="5"/>
    <x v="319"/>
    <s v="lscargle9h@myspace.com"/>
    <x v="0"/>
    <x v="3"/>
    <s v="D"/>
    <x v="1"/>
    <n v="7.77"/>
    <n v="38.849999999999994"/>
    <x v="3"/>
    <x v="2"/>
    <x v="1"/>
  </r>
  <r>
    <s v="NYY-73968-094"/>
    <x v="288"/>
    <x v="320"/>
    <s v="R-D-0.5"/>
    <n v="6"/>
    <x v="320"/>
    <s v="nclimance9j@europa.eu"/>
    <x v="0"/>
    <x v="0"/>
    <s v="D"/>
    <x v="1"/>
    <n v="5.3699999999999992"/>
    <n v="32.22"/>
    <x v="0"/>
    <x v="2"/>
    <x v="1"/>
  </r>
  <r>
    <s v="QEY-71761-460"/>
    <x v="250"/>
    <x v="321"/>
    <s v="R-M-1"/>
    <n v="2"/>
    <x v="321"/>
    <s v=""/>
    <x v="1"/>
    <x v="0"/>
    <s v="M"/>
    <x v="0"/>
    <n v="9.9499999999999993"/>
    <n v="19.899999999999999"/>
    <x v="0"/>
    <x v="0"/>
    <x v="0"/>
  </r>
  <r>
    <s v="GKQ-82603-910"/>
    <x v="289"/>
    <x v="322"/>
    <s v="R-L-1"/>
    <n v="5"/>
    <x v="322"/>
    <s v="asnazle9l@oracle.com"/>
    <x v="0"/>
    <x v="0"/>
    <s v="L"/>
    <x v="0"/>
    <n v="11.95"/>
    <n v="59.75"/>
    <x v="0"/>
    <x v="1"/>
    <x v="1"/>
  </r>
  <r>
    <s v="IOB-32673-745"/>
    <x v="290"/>
    <x v="323"/>
    <s v="A-L-0.5"/>
    <n v="3"/>
    <x v="323"/>
    <s v="rworg9m@arstechnica.com"/>
    <x v="0"/>
    <x v="2"/>
    <s v="L"/>
    <x v="1"/>
    <n v="7.77"/>
    <n v="23.31"/>
    <x v="2"/>
    <x v="1"/>
    <x v="0"/>
  </r>
  <r>
    <s v="YAU-98893-150"/>
    <x v="291"/>
    <x v="324"/>
    <s v="L-M-1"/>
    <n v="3"/>
    <x v="324"/>
    <s v="ldanes9n@umn.edu"/>
    <x v="0"/>
    <x v="3"/>
    <s v="M"/>
    <x v="0"/>
    <n v="14.55"/>
    <n v="43.650000000000006"/>
    <x v="3"/>
    <x v="0"/>
    <x v="1"/>
  </r>
  <r>
    <s v="XNM-14163-951"/>
    <x v="292"/>
    <x v="325"/>
    <s v="E-L-2.5"/>
    <n v="6"/>
    <x v="325"/>
    <s v="skeynd9o@narod.ru"/>
    <x v="0"/>
    <x v="1"/>
    <s v="L"/>
    <x v="2"/>
    <n v="34.154999999999994"/>
    <n v="204.92999999999995"/>
    <x v="1"/>
    <x v="1"/>
    <x v="1"/>
  </r>
  <r>
    <s v="JPB-45297-000"/>
    <x v="293"/>
    <x v="326"/>
    <s v="R-L-0.2"/>
    <n v="4"/>
    <x v="326"/>
    <s v="ddaveridge9p@arstechnica.com"/>
    <x v="0"/>
    <x v="0"/>
    <s v="L"/>
    <x v="3"/>
    <n v="3.5849999999999995"/>
    <n v="14.339999999999998"/>
    <x v="0"/>
    <x v="1"/>
    <x v="1"/>
  </r>
  <r>
    <s v="MOU-74341-266"/>
    <x v="294"/>
    <x v="327"/>
    <s v="A-D-0.5"/>
    <n v="4"/>
    <x v="327"/>
    <s v="jawdry9q@utexas.edu"/>
    <x v="0"/>
    <x v="2"/>
    <s v="D"/>
    <x v="1"/>
    <n v="5.97"/>
    <n v="23.88"/>
    <x v="2"/>
    <x v="2"/>
    <x v="1"/>
  </r>
  <r>
    <s v="DHJ-87461-571"/>
    <x v="295"/>
    <x v="328"/>
    <s v="A-M-1"/>
    <n v="2"/>
    <x v="328"/>
    <s v="eryles9r@fastcompany.com"/>
    <x v="0"/>
    <x v="2"/>
    <s v="M"/>
    <x v="0"/>
    <n v="11.25"/>
    <n v="22.5"/>
    <x v="2"/>
    <x v="0"/>
    <x v="1"/>
  </r>
  <r>
    <s v="DKM-97676-850"/>
    <x v="296"/>
    <x v="306"/>
    <s v="E-D-0.5"/>
    <n v="5"/>
    <x v="306"/>
    <s v=""/>
    <x v="0"/>
    <x v="1"/>
    <s v="D"/>
    <x v="1"/>
    <n v="7.29"/>
    <n v="36.450000000000003"/>
    <x v="1"/>
    <x v="2"/>
    <x v="1"/>
  </r>
  <r>
    <s v="UEB-09112-118"/>
    <x v="297"/>
    <x v="329"/>
    <s v="A-M-0.5"/>
    <n v="4"/>
    <x v="329"/>
    <s v=""/>
    <x v="0"/>
    <x v="2"/>
    <s v="M"/>
    <x v="1"/>
    <n v="6.75"/>
    <n v="27"/>
    <x v="2"/>
    <x v="0"/>
    <x v="0"/>
  </r>
  <r>
    <s v="ORZ-67699-748"/>
    <x v="298"/>
    <x v="330"/>
    <s v="A-M-2.5"/>
    <n v="6"/>
    <x v="330"/>
    <s v="jcaldicott9u@usda.gov"/>
    <x v="0"/>
    <x v="2"/>
    <s v="M"/>
    <x v="2"/>
    <n v="25.874999999999996"/>
    <n v="155.24999999999997"/>
    <x v="2"/>
    <x v="0"/>
    <x v="1"/>
  </r>
  <r>
    <s v="JXP-28398-485"/>
    <x v="299"/>
    <x v="331"/>
    <s v="A-D-2.5"/>
    <n v="5"/>
    <x v="331"/>
    <s v="mvedmore9v@a8.net"/>
    <x v="0"/>
    <x v="2"/>
    <s v="D"/>
    <x v="2"/>
    <n v="22.884999999999998"/>
    <n v="114.42499999999998"/>
    <x v="2"/>
    <x v="2"/>
    <x v="0"/>
  </r>
  <r>
    <s v="WWH-92259-198"/>
    <x v="300"/>
    <x v="332"/>
    <s v="L-D-1"/>
    <n v="4"/>
    <x v="332"/>
    <s v="wromao9w@chronoengine.com"/>
    <x v="0"/>
    <x v="3"/>
    <s v="D"/>
    <x v="0"/>
    <n v="12.95"/>
    <n v="51.8"/>
    <x v="3"/>
    <x v="2"/>
    <x v="0"/>
  </r>
  <r>
    <s v="FLR-82914-153"/>
    <x v="301"/>
    <x v="333"/>
    <s v="A-M-2.5"/>
    <n v="6"/>
    <x v="333"/>
    <s v=""/>
    <x v="0"/>
    <x v="2"/>
    <s v="M"/>
    <x v="2"/>
    <n v="25.874999999999996"/>
    <n v="155.24999999999997"/>
    <x v="2"/>
    <x v="0"/>
    <x v="1"/>
  </r>
  <r>
    <s v="AMB-93600-000"/>
    <x v="302"/>
    <x v="334"/>
    <s v="A-L-2.5"/>
    <n v="1"/>
    <x v="334"/>
    <s v="tcotmore9y@amazonaws.com"/>
    <x v="0"/>
    <x v="2"/>
    <s v="L"/>
    <x v="2"/>
    <n v="29.784999999999997"/>
    <n v="29.784999999999997"/>
    <x v="2"/>
    <x v="1"/>
    <x v="1"/>
  </r>
  <r>
    <s v="FEP-36895-658"/>
    <x v="303"/>
    <x v="335"/>
    <s v="R-L-0.2"/>
    <n v="6"/>
    <x v="335"/>
    <s v="yskipsey9z@spotify.com"/>
    <x v="2"/>
    <x v="0"/>
    <s v="L"/>
    <x v="3"/>
    <n v="3.5849999999999995"/>
    <n v="21.509999999999998"/>
    <x v="0"/>
    <x v="1"/>
    <x v="1"/>
  </r>
  <r>
    <s v="RXW-91413-276"/>
    <x v="304"/>
    <x v="336"/>
    <s v="R-D-2.5"/>
    <n v="2"/>
    <x v="336"/>
    <s v="ncorpsa0@gmpg.org"/>
    <x v="0"/>
    <x v="0"/>
    <s v="D"/>
    <x v="2"/>
    <n v="20.584999999999997"/>
    <n v="41.169999999999995"/>
    <x v="0"/>
    <x v="2"/>
    <x v="1"/>
  </r>
  <r>
    <s v="RXW-91413-276"/>
    <x v="304"/>
    <x v="336"/>
    <s v="R-M-0.5"/>
    <n v="1"/>
    <x v="336"/>
    <s v="ncorpsa0@gmpg.org"/>
    <x v="0"/>
    <x v="0"/>
    <s v="M"/>
    <x v="1"/>
    <n v="5.97"/>
    <n v="5.97"/>
    <x v="0"/>
    <x v="0"/>
    <x v="1"/>
  </r>
  <r>
    <s v="SDB-77492-188"/>
    <x v="305"/>
    <x v="337"/>
    <s v="E-L-1"/>
    <n v="5"/>
    <x v="337"/>
    <s v="fbabbera2@stanford.edu"/>
    <x v="0"/>
    <x v="1"/>
    <s v="L"/>
    <x v="0"/>
    <n v="14.85"/>
    <n v="74.25"/>
    <x v="1"/>
    <x v="1"/>
    <x v="0"/>
  </r>
  <r>
    <s v="RZN-65182-395"/>
    <x v="196"/>
    <x v="338"/>
    <s v="L-M-1"/>
    <n v="6"/>
    <x v="338"/>
    <s v="kloxtona3@opensource.org"/>
    <x v="0"/>
    <x v="3"/>
    <s v="M"/>
    <x v="0"/>
    <n v="14.55"/>
    <n v="87.300000000000011"/>
    <x v="3"/>
    <x v="0"/>
    <x v="1"/>
  </r>
  <r>
    <s v="HDQ-86094-507"/>
    <x v="110"/>
    <x v="339"/>
    <s v="E-D-1"/>
    <n v="6"/>
    <x v="339"/>
    <s v="ptoffula4@posterous.com"/>
    <x v="0"/>
    <x v="1"/>
    <s v="D"/>
    <x v="0"/>
    <n v="12.15"/>
    <n v="72.900000000000006"/>
    <x v="1"/>
    <x v="2"/>
    <x v="0"/>
  </r>
  <r>
    <s v="YXO-79631-417"/>
    <x v="24"/>
    <x v="340"/>
    <s v="L-D-0.5"/>
    <n v="1"/>
    <x v="340"/>
    <s v="cgwinnetta5@behance.net"/>
    <x v="0"/>
    <x v="3"/>
    <s v="D"/>
    <x v="1"/>
    <n v="7.77"/>
    <n v="7.77"/>
    <x v="3"/>
    <x v="2"/>
    <x v="1"/>
  </r>
  <r>
    <s v="SNF-57032-096"/>
    <x v="306"/>
    <x v="341"/>
    <s v="E-D-0.5"/>
    <n v="6"/>
    <x v="341"/>
    <s v=""/>
    <x v="0"/>
    <x v="1"/>
    <s v="D"/>
    <x v="1"/>
    <n v="7.29"/>
    <n v="43.74"/>
    <x v="1"/>
    <x v="2"/>
    <x v="1"/>
  </r>
  <r>
    <s v="DGL-29648-995"/>
    <x v="307"/>
    <x v="342"/>
    <s v="L-M-0.2"/>
    <n v="2"/>
    <x v="342"/>
    <s v=""/>
    <x v="0"/>
    <x v="3"/>
    <s v="M"/>
    <x v="3"/>
    <n v="4.3650000000000002"/>
    <n v="8.73"/>
    <x v="3"/>
    <x v="0"/>
    <x v="0"/>
  </r>
  <r>
    <s v="GPU-65651-504"/>
    <x v="308"/>
    <x v="343"/>
    <s v="E-M-2.5"/>
    <n v="2"/>
    <x v="343"/>
    <s v="lflaoniera8@wordpress.org"/>
    <x v="0"/>
    <x v="1"/>
    <s v="M"/>
    <x v="2"/>
    <n v="31.624999999999996"/>
    <n v="63.249999999999993"/>
    <x v="1"/>
    <x v="0"/>
    <x v="1"/>
  </r>
  <r>
    <s v="OJU-34452-896"/>
    <x v="309"/>
    <x v="344"/>
    <s v="E-L-0.5"/>
    <n v="1"/>
    <x v="344"/>
    <s v=""/>
    <x v="0"/>
    <x v="1"/>
    <s v="L"/>
    <x v="1"/>
    <n v="8.91"/>
    <n v="8.91"/>
    <x v="1"/>
    <x v="1"/>
    <x v="0"/>
  </r>
  <r>
    <s v="GZS-50547-887"/>
    <x v="310"/>
    <x v="345"/>
    <s v="E-D-1"/>
    <n v="2"/>
    <x v="345"/>
    <s v="ccatchesideaa@macromedia.com"/>
    <x v="0"/>
    <x v="1"/>
    <s v="D"/>
    <x v="0"/>
    <n v="12.15"/>
    <n v="24.3"/>
    <x v="1"/>
    <x v="2"/>
    <x v="0"/>
  </r>
  <r>
    <s v="ESR-54041-053"/>
    <x v="311"/>
    <x v="346"/>
    <s v="A-L-0.5"/>
    <n v="6"/>
    <x v="346"/>
    <s v="cgibbonsonab@accuweather.com"/>
    <x v="0"/>
    <x v="2"/>
    <s v="L"/>
    <x v="1"/>
    <n v="7.77"/>
    <n v="46.62"/>
    <x v="2"/>
    <x v="1"/>
    <x v="0"/>
  </r>
  <r>
    <s v="OGD-10781-526"/>
    <x v="132"/>
    <x v="347"/>
    <s v="R-L-0.5"/>
    <n v="6"/>
    <x v="347"/>
    <s v="tfarraac@behance.net"/>
    <x v="0"/>
    <x v="0"/>
    <s v="L"/>
    <x v="1"/>
    <n v="7.169999999999999"/>
    <n v="43.019999999999996"/>
    <x v="0"/>
    <x v="1"/>
    <x v="1"/>
  </r>
  <r>
    <s v="FVH-29271-315"/>
    <x v="312"/>
    <x v="348"/>
    <s v="A-D-0.5"/>
    <n v="3"/>
    <x v="348"/>
    <s v=""/>
    <x v="1"/>
    <x v="2"/>
    <s v="D"/>
    <x v="1"/>
    <n v="5.97"/>
    <n v="17.91"/>
    <x v="2"/>
    <x v="2"/>
    <x v="0"/>
  </r>
  <r>
    <s v="BNZ-20544-633"/>
    <x v="313"/>
    <x v="349"/>
    <s v="L-L-0.5"/>
    <n v="4"/>
    <x v="349"/>
    <s v="gbamfieldae@yellowpages.com"/>
    <x v="0"/>
    <x v="3"/>
    <s v="L"/>
    <x v="1"/>
    <n v="9.51"/>
    <n v="38.04"/>
    <x v="3"/>
    <x v="1"/>
    <x v="0"/>
  </r>
  <r>
    <s v="FUX-85791-078"/>
    <x v="156"/>
    <x v="350"/>
    <s v="A-M-0.2"/>
    <n v="2"/>
    <x v="350"/>
    <s v="whollingdaleaf@about.me"/>
    <x v="0"/>
    <x v="2"/>
    <s v="M"/>
    <x v="3"/>
    <n v="3.375"/>
    <n v="6.75"/>
    <x v="2"/>
    <x v="0"/>
    <x v="0"/>
  </r>
  <r>
    <s v="YXP-20078-116"/>
    <x v="314"/>
    <x v="351"/>
    <s v="R-M-0.5"/>
    <n v="1"/>
    <x v="351"/>
    <s v="jdeag@xrea.com"/>
    <x v="0"/>
    <x v="0"/>
    <s v="M"/>
    <x v="1"/>
    <n v="5.97"/>
    <n v="5.97"/>
    <x v="0"/>
    <x v="0"/>
    <x v="0"/>
  </r>
  <r>
    <s v="VQV-59984-866"/>
    <x v="315"/>
    <x v="352"/>
    <s v="R-D-0.2"/>
    <n v="3"/>
    <x v="352"/>
    <s v="vskulletah@tinyurl.com"/>
    <x v="1"/>
    <x v="0"/>
    <s v="D"/>
    <x v="3"/>
    <n v="2.6849999999999996"/>
    <n v="8.0549999999999997"/>
    <x v="0"/>
    <x v="2"/>
    <x v="1"/>
  </r>
  <r>
    <s v="JEH-37276-048"/>
    <x v="316"/>
    <x v="353"/>
    <s v="A-L-0.5"/>
    <n v="3"/>
    <x v="353"/>
    <s v="jrudeforthai@wunderground.com"/>
    <x v="1"/>
    <x v="2"/>
    <s v="L"/>
    <x v="1"/>
    <n v="7.77"/>
    <n v="23.31"/>
    <x v="2"/>
    <x v="1"/>
    <x v="0"/>
  </r>
  <r>
    <s v="VYD-28555-589"/>
    <x v="317"/>
    <x v="354"/>
    <s v="R-L-0.5"/>
    <n v="6"/>
    <x v="354"/>
    <s v="atomaszewskiaj@answers.com"/>
    <x v="2"/>
    <x v="0"/>
    <s v="L"/>
    <x v="1"/>
    <n v="7.169999999999999"/>
    <n v="43.019999999999996"/>
    <x v="0"/>
    <x v="1"/>
    <x v="0"/>
  </r>
  <r>
    <s v="WUG-76466-650"/>
    <x v="318"/>
    <x v="306"/>
    <s v="L-D-0.5"/>
    <n v="3"/>
    <x v="306"/>
    <s v=""/>
    <x v="0"/>
    <x v="3"/>
    <s v="D"/>
    <x v="1"/>
    <n v="7.77"/>
    <n v="23.31"/>
    <x v="3"/>
    <x v="2"/>
    <x v="1"/>
  </r>
  <r>
    <s v="RJV-08261-583"/>
    <x v="182"/>
    <x v="355"/>
    <s v="A-D-0.2"/>
    <n v="5"/>
    <x v="355"/>
    <s v="pbessal@qq.com"/>
    <x v="0"/>
    <x v="2"/>
    <s v="D"/>
    <x v="3"/>
    <n v="2.9849999999999999"/>
    <n v="14.924999999999999"/>
    <x v="2"/>
    <x v="2"/>
    <x v="0"/>
  </r>
  <r>
    <s v="PMR-56062-609"/>
    <x v="319"/>
    <x v="356"/>
    <s v="E-D-0.5"/>
    <n v="3"/>
    <x v="356"/>
    <s v="ewindressam@marketwatch.com"/>
    <x v="0"/>
    <x v="1"/>
    <s v="D"/>
    <x v="1"/>
    <n v="7.29"/>
    <n v="21.87"/>
    <x v="1"/>
    <x v="2"/>
    <x v="1"/>
  </r>
  <r>
    <s v="XLD-12920-505"/>
    <x v="320"/>
    <x v="357"/>
    <s v="E-L-0.5"/>
    <n v="6"/>
    <x v="357"/>
    <s v=""/>
    <x v="0"/>
    <x v="1"/>
    <s v="L"/>
    <x v="1"/>
    <n v="8.91"/>
    <n v="53.46"/>
    <x v="1"/>
    <x v="1"/>
    <x v="0"/>
  </r>
  <r>
    <s v="UBW-50312-037"/>
    <x v="321"/>
    <x v="358"/>
    <s v="A-L-2.5"/>
    <n v="4"/>
    <x v="358"/>
    <s v=""/>
    <x v="0"/>
    <x v="2"/>
    <s v="L"/>
    <x v="2"/>
    <n v="29.784999999999997"/>
    <n v="119.13999999999999"/>
    <x v="2"/>
    <x v="1"/>
    <x v="1"/>
  </r>
  <r>
    <s v="QAW-05889-019"/>
    <x v="322"/>
    <x v="359"/>
    <s v="L-M-0.5"/>
    <n v="5"/>
    <x v="359"/>
    <s v="vbaumadierap@google.cn"/>
    <x v="0"/>
    <x v="3"/>
    <s v="M"/>
    <x v="1"/>
    <n v="8.73"/>
    <n v="43.650000000000006"/>
    <x v="3"/>
    <x v="0"/>
    <x v="0"/>
  </r>
  <r>
    <s v="EPT-12715-397"/>
    <x v="128"/>
    <x v="360"/>
    <s v="A-D-0.2"/>
    <n v="6"/>
    <x v="360"/>
    <s v=""/>
    <x v="0"/>
    <x v="2"/>
    <s v="D"/>
    <x v="3"/>
    <n v="2.9849999999999999"/>
    <n v="17.91"/>
    <x v="2"/>
    <x v="2"/>
    <x v="0"/>
  </r>
  <r>
    <s v="DHT-93810-053"/>
    <x v="323"/>
    <x v="361"/>
    <s v="E-L-1"/>
    <n v="5"/>
    <x v="361"/>
    <s v="sweldsar@wired.com"/>
    <x v="0"/>
    <x v="1"/>
    <s v="L"/>
    <x v="0"/>
    <n v="14.85"/>
    <n v="74.25"/>
    <x v="1"/>
    <x v="1"/>
    <x v="0"/>
  </r>
  <r>
    <s v="DMY-96037-963"/>
    <x v="324"/>
    <x v="362"/>
    <s v="L-D-0.2"/>
    <n v="3"/>
    <x v="362"/>
    <s v="msarvaras@artisteer.com"/>
    <x v="0"/>
    <x v="3"/>
    <s v="D"/>
    <x v="3"/>
    <n v="3.8849999999999998"/>
    <n v="11.654999999999999"/>
    <x v="3"/>
    <x v="2"/>
    <x v="0"/>
  </r>
  <r>
    <s v="MBM-55936-917"/>
    <x v="325"/>
    <x v="363"/>
    <s v="L-D-0.5"/>
    <n v="3"/>
    <x v="363"/>
    <s v="ahavickat@nsw.gov.au"/>
    <x v="0"/>
    <x v="3"/>
    <s v="D"/>
    <x v="1"/>
    <n v="7.77"/>
    <n v="23.31"/>
    <x v="3"/>
    <x v="2"/>
    <x v="0"/>
  </r>
  <r>
    <s v="TPA-93614-840"/>
    <x v="326"/>
    <x v="364"/>
    <s v="E-D-0.5"/>
    <n v="2"/>
    <x v="364"/>
    <s v="sdivinyau@ask.com"/>
    <x v="0"/>
    <x v="1"/>
    <s v="D"/>
    <x v="1"/>
    <n v="7.29"/>
    <n v="14.58"/>
    <x v="1"/>
    <x v="2"/>
    <x v="0"/>
  </r>
  <r>
    <s v="WDM-77521-710"/>
    <x v="327"/>
    <x v="365"/>
    <s v="A-M-0.5"/>
    <n v="2"/>
    <x v="365"/>
    <s v="inorquoyav@businessweek.com"/>
    <x v="0"/>
    <x v="2"/>
    <s v="M"/>
    <x v="1"/>
    <n v="6.75"/>
    <n v="13.5"/>
    <x v="2"/>
    <x v="0"/>
    <x v="1"/>
  </r>
  <r>
    <s v="EIP-19142-462"/>
    <x v="328"/>
    <x v="366"/>
    <s v="E-L-1"/>
    <n v="6"/>
    <x v="366"/>
    <s v="aiddisonaw@usa.gov"/>
    <x v="0"/>
    <x v="1"/>
    <s v="L"/>
    <x v="0"/>
    <n v="14.85"/>
    <n v="89.1"/>
    <x v="1"/>
    <x v="1"/>
    <x v="1"/>
  </r>
  <r>
    <s v="EIP-19142-462"/>
    <x v="328"/>
    <x v="366"/>
    <s v="A-L-0.2"/>
    <n v="1"/>
    <x v="366"/>
    <s v="aiddisonaw@usa.gov"/>
    <x v="0"/>
    <x v="2"/>
    <s v="L"/>
    <x v="3"/>
    <n v="3.8849999999999998"/>
    <n v="3.8849999999999998"/>
    <x v="2"/>
    <x v="1"/>
    <x v="1"/>
  </r>
  <r>
    <s v="ZZL-76364-387"/>
    <x v="128"/>
    <x v="367"/>
    <s v="R-L-2.5"/>
    <n v="4"/>
    <x v="367"/>
    <s v="rlongfielday@bluehost.com"/>
    <x v="0"/>
    <x v="0"/>
    <s v="L"/>
    <x v="2"/>
    <n v="27.484999999999996"/>
    <n v="109.93999999999998"/>
    <x v="0"/>
    <x v="1"/>
    <x v="1"/>
  </r>
  <r>
    <s v="GMF-18638-786"/>
    <x v="329"/>
    <x v="368"/>
    <s v="L-D-0.5"/>
    <n v="6"/>
    <x v="368"/>
    <s v="gkislingburyaz@samsung.com"/>
    <x v="0"/>
    <x v="3"/>
    <s v="D"/>
    <x v="1"/>
    <n v="7.77"/>
    <n v="46.62"/>
    <x v="3"/>
    <x v="2"/>
    <x v="0"/>
  </r>
  <r>
    <s v="TDJ-20844-787"/>
    <x v="330"/>
    <x v="369"/>
    <s v="A-L-0.5"/>
    <n v="5"/>
    <x v="369"/>
    <s v="xgibbonsb0@artisteer.com"/>
    <x v="0"/>
    <x v="2"/>
    <s v="L"/>
    <x v="1"/>
    <n v="7.77"/>
    <n v="38.849999999999994"/>
    <x v="2"/>
    <x v="1"/>
    <x v="1"/>
  </r>
  <r>
    <s v="BWK-39400-446"/>
    <x v="331"/>
    <x v="370"/>
    <s v="L-D-0.5"/>
    <n v="4"/>
    <x v="370"/>
    <s v="fparresb1@imageshack.us"/>
    <x v="0"/>
    <x v="3"/>
    <s v="D"/>
    <x v="1"/>
    <n v="7.77"/>
    <n v="31.08"/>
    <x v="3"/>
    <x v="2"/>
    <x v="0"/>
  </r>
  <r>
    <s v="LCB-02099-995"/>
    <x v="332"/>
    <x v="371"/>
    <s v="A-D-0.2"/>
    <n v="6"/>
    <x v="371"/>
    <s v="gsibrayb2@wsj.com"/>
    <x v="0"/>
    <x v="2"/>
    <s v="D"/>
    <x v="3"/>
    <n v="2.9849999999999999"/>
    <n v="17.91"/>
    <x v="2"/>
    <x v="2"/>
    <x v="0"/>
  </r>
  <r>
    <s v="UBA-43678-174"/>
    <x v="333"/>
    <x v="372"/>
    <s v="E-D-2.5"/>
    <n v="6"/>
    <x v="372"/>
    <s v="ihotchkinb3@mit.edu"/>
    <x v="2"/>
    <x v="1"/>
    <s v="D"/>
    <x v="2"/>
    <n v="27.945"/>
    <n v="167.67000000000002"/>
    <x v="1"/>
    <x v="2"/>
    <x v="1"/>
  </r>
  <r>
    <s v="UDH-24280-432"/>
    <x v="334"/>
    <x v="373"/>
    <s v="L-L-1"/>
    <n v="4"/>
    <x v="373"/>
    <s v="nbroadberrieb4@gnu.org"/>
    <x v="0"/>
    <x v="3"/>
    <s v="L"/>
    <x v="0"/>
    <n v="15.85"/>
    <n v="63.4"/>
    <x v="3"/>
    <x v="1"/>
    <x v="1"/>
  </r>
  <r>
    <s v="IDQ-20193-502"/>
    <x v="335"/>
    <x v="374"/>
    <s v="L-M-0.2"/>
    <n v="2"/>
    <x v="374"/>
    <s v="rpithcockb5@yellowbook.com"/>
    <x v="0"/>
    <x v="3"/>
    <s v="M"/>
    <x v="3"/>
    <n v="4.3650000000000002"/>
    <n v="8.73"/>
    <x v="3"/>
    <x v="0"/>
    <x v="0"/>
  </r>
  <r>
    <s v="DJG-14442-608"/>
    <x v="336"/>
    <x v="375"/>
    <s v="R-D-1"/>
    <n v="3"/>
    <x v="375"/>
    <s v="gcroysdaleb6@nih.gov"/>
    <x v="0"/>
    <x v="0"/>
    <s v="D"/>
    <x v="0"/>
    <n v="8.9499999999999993"/>
    <n v="26.849999999999998"/>
    <x v="0"/>
    <x v="2"/>
    <x v="0"/>
  </r>
  <r>
    <s v="DWB-61381-370"/>
    <x v="337"/>
    <x v="376"/>
    <s v="L-L-0.2"/>
    <n v="2"/>
    <x v="376"/>
    <s v="bgozzettb7@github.com"/>
    <x v="0"/>
    <x v="3"/>
    <s v="L"/>
    <x v="3"/>
    <n v="4.7549999999999999"/>
    <n v="9.51"/>
    <x v="3"/>
    <x v="1"/>
    <x v="1"/>
  </r>
  <r>
    <s v="FRD-17347-990"/>
    <x v="80"/>
    <x v="377"/>
    <s v="A-D-1"/>
    <n v="4"/>
    <x v="377"/>
    <s v="tcraggsb8@house.gov"/>
    <x v="1"/>
    <x v="2"/>
    <s v="D"/>
    <x v="0"/>
    <n v="9.9499999999999993"/>
    <n v="39.799999999999997"/>
    <x v="2"/>
    <x v="2"/>
    <x v="1"/>
  </r>
  <r>
    <s v="YPP-27450-525"/>
    <x v="338"/>
    <x v="378"/>
    <s v="E-M-0.5"/>
    <n v="3"/>
    <x v="378"/>
    <s v="lcullrfordb9@xing.com"/>
    <x v="0"/>
    <x v="1"/>
    <s v="M"/>
    <x v="1"/>
    <n v="8.25"/>
    <n v="24.75"/>
    <x v="1"/>
    <x v="0"/>
    <x v="0"/>
  </r>
  <r>
    <s v="EFC-39577-424"/>
    <x v="339"/>
    <x v="379"/>
    <s v="E-M-1"/>
    <n v="5"/>
    <x v="379"/>
    <s v="arizonba@xing.com"/>
    <x v="0"/>
    <x v="1"/>
    <s v="M"/>
    <x v="0"/>
    <n v="13.75"/>
    <n v="68.75"/>
    <x v="1"/>
    <x v="0"/>
    <x v="0"/>
  </r>
  <r>
    <s v="LAW-80062-016"/>
    <x v="340"/>
    <x v="380"/>
    <s v="E-M-0.5"/>
    <n v="6"/>
    <x v="380"/>
    <s v=""/>
    <x v="1"/>
    <x v="1"/>
    <s v="M"/>
    <x v="1"/>
    <n v="8.25"/>
    <n v="49.5"/>
    <x v="1"/>
    <x v="0"/>
    <x v="1"/>
  </r>
  <r>
    <s v="WKL-27981-758"/>
    <x v="177"/>
    <x v="381"/>
    <s v="A-M-2.5"/>
    <n v="2"/>
    <x v="381"/>
    <s v="fmiellbc@spiegel.de"/>
    <x v="0"/>
    <x v="2"/>
    <s v="M"/>
    <x v="2"/>
    <n v="25.874999999999996"/>
    <n v="51.749999999999993"/>
    <x v="2"/>
    <x v="0"/>
    <x v="0"/>
  </r>
  <r>
    <s v="VRT-39834-265"/>
    <x v="341"/>
    <x v="382"/>
    <s v="L-L-1"/>
    <n v="3"/>
    <x v="382"/>
    <s v=""/>
    <x v="1"/>
    <x v="3"/>
    <s v="L"/>
    <x v="0"/>
    <n v="15.85"/>
    <n v="47.55"/>
    <x v="3"/>
    <x v="1"/>
    <x v="0"/>
  </r>
  <r>
    <s v="QTC-71005-730"/>
    <x v="342"/>
    <x v="383"/>
    <s v="A-L-0.2"/>
    <n v="4"/>
    <x v="383"/>
    <s v=""/>
    <x v="0"/>
    <x v="2"/>
    <s v="L"/>
    <x v="3"/>
    <n v="3.8849999999999998"/>
    <n v="15.54"/>
    <x v="2"/>
    <x v="1"/>
    <x v="1"/>
  </r>
  <r>
    <s v="TNX-09857-717"/>
    <x v="343"/>
    <x v="384"/>
    <s v="L-M-1"/>
    <n v="6"/>
    <x v="384"/>
    <s v=""/>
    <x v="0"/>
    <x v="3"/>
    <s v="M"/>
    <x v="0"/>
    <n v="14.55"/>
    <n v="87.300000000000011"/>
    <x v="3"/>
    <x v="0"/>
    <x v="0"/>
  </r>
  <r>
    <s v="JZV-43874-185"/>
    <x v="344"/>
    <x v="385"/>
    <s v="A-M-1"/>
    <n v="5"/>
    <x v="385"/>
    <s v=""/>
    <x v="0"/>
    <x v="2"/>
    <s v="M"/>
    <x v="0"/>
    <n v="11.25"/>
    <n v="56.25"/>
    <x v="2"/>
    <x v="0"/>
    <x v="0"/>
  </r>
  <r>
    <s v="ICF-17486-106"/>
    <x v="47"/>
    <x v="386"/>
    <s v="L-L-2.5"/>
    <n v="1"/>
    <x v="386"/>
    <s v="wspringallbh@jugem.jp"/>
    <x v="0"/>
    <x v="3"/>
    <s v="L"/>
    <x v="2"/>
    <n v="36.454999999999998"/>
    <n v="36.454999999999998"/>
    <x v="3"/>
    <x v="1"/>
    <x v="0"/>
  </r>
  <r>
    <s v="BMK-49520-383"/>
    <x v="345"/>
    <x v="387"/>
    <s v="R-L-0.2"/>
    <n v="3"/>
    <x v="387"/>
    <s v=""/>
    <x v="0"/>
    <x v="0"/>
    <s v="L"/>
    <x v="3"/>
    <n v="3.5849999999999995"/>
    <n v="10.754999999999999"/>
    <x v="0"/>
    <x v="1"/>
    <x v="0"/>
  </r>
  <r>
    <s v="HTS-15020-632"/>
    <x v="169"/>
    <x v="388"/>
    <s v="R-M-0.2"/>
    <n v="3"/>
    <x v="388"/>
    <s v="ghawkyensbj@census.gov"/>
    <x v="0"/>
    <x v="0"/>
    <s v="M"/>
    <x v="3"/>
    <n v="2.9849999999999999"/>
    <n v="8.9550000000000001"/>
    <x v="0"/>
    <x v="0"/>
    <x v="1"/>
  </r>
  <r>
    <s v="YLE-18247-749"/>
    <x v="346"/>
    <x v="389"/>
    <s v="A-L-0.5"/>
    <n v="3"/>
    <x v="389"/>
    <s v=""/>
    <x v="0"/>
    <x v="2"/>
    <s v="L"/>
    <x v="1"/>
    <n v="7.77"/>
    <n v="23.31"/>
    <x v="2"/>
    <x v="1"/>
    <x v="0"/>
  </r>
  <r>
    <s v="KJJ-12573-591"/>
    <x v="347"/>
    <x v="390"/>
    <s v="A-L-2.5"/>
    <n v="1"/>
    <x v="390"/>
    <s v=""/>
    <x v="0"/>
    <x v="2"/>
    <s v="L"/>
    <x v="2"/>
    <n v="29.784999999999997"/>
    <n v="29.784999999999997"/>
    <x v="2"/>
    <x v="1"/>
    <x v="0"/>
  </r>
  <r>
    <s v="RGU-43561-950"/>
    <x v="348"/>
    <x v="391"/>
    <s v="A-L-2.5"/>
    <n v="5"/>
    <x v="391"/>
    <s v="bmcgilvrabm@so-net.ne.jp"/>
    <x v="0"/>
    <x v="2"/>
    <s v="L"/>
    <x v="2"/>
    <n v="29.784999999999997"/>
    <n v="148.92499999999998"/>
    <x v="2"/>
    <x v="1"/>
    <x v="0"/>
  </r>
  <r>
    <s v="JSN-73975-443"/>
    <x v="349"/>
    <x v="392"/>
    <s v="L-M-0.5"/>
    <n v="1"/>
    <x v="392"/>
    <s v="adanzeybn@github.com"/>
    <x v="0"/>
    <x v="3"/>
    <s v="M"/>
    <x v="1"/>
    <n v="8.73"/>
    <n v="8.73"/>
    <x v="3"/>
    <x v="0"/>
    <x v="0"/>
  </r>
  <r>
    <s v="WNR-71736-993"/>
    <x v="350"/>
    <x v="347"/>
    <s v="L-D-0.5"/>
    <n v="4"/>
    <x v="347"/>
    <s v="tfarraac@behance.net"/>
    <x v="0"/>
    <x v="3"/>
    <s v="D"/>
    <x v="1"/>
    <n v="7.77"/>
    <n v="31.08"/>
    <x v="3"/>
    <x v="2"/>
    <x v="1"/>
  </r>
  <r>
    <s v="WNR-71736-993"/>
    <x v="350"/>
    <x v="347"/>
    <s v="A-D-2.5"/>
    <n v="6"/>
    <x v="347"/>
    <s v="tfarraac@behance.net"/>
    <x v="0"/>
    <x v="2"/>
    <s v="D"/>
    <x v="2"/>
    <n v="22.884999999999998"/>
    <n v="137.31"/>
    <x v="2"/>
    <x v="2"/>
    <x v="1"/>
  </r>
  <r>
    <s v="HNI-91338-546"/>
    <x v="54"/>
    <x v="393"/>
    <s v="A-D-0.5"/>
    <n v="5"/>
    <x v="393"/>
    <s v=""/>
    <x v="0"/>
    <x v="2"/>
    <s v="D"/>
    <x v="1"/>
    <n v="5.97"/>
    <n v="29.849999999999998"/>
    <x v="2"/>
    <x v="2"/>
    <x v="1"/>
  </r>
  <r>
    <s v="CYH-53243-218"/>
    <x v="237"/>
    <x v="394"/>
    <s v="R-M-0.5"/>
    <n v="3"/>
    <x v="394"/>
    <s v=""/>
    <x v="0"/>
    <x v="0"/>
    <s v="M"/>
    <x v="1"/>
    <n v="5.97"/>
    <n v="17.91"/>
    <x v="0"/>
    <x v="0"/>
    <x v="1"/>
  </r>
  <r>
    <s v="SVD-75407-177"/>
    <x v="351"/>
    <x v="395"/>
    <s v="E-L-0.5"/>
    <n v="3"/>
    <x v="395"/>
    <s v="ydombrellbs@dedecms.com"/>
    <x v="0"/>
    <x v="1"/>
    <s v="L"/>
    <x v="1"/>
    <n v="8.91"/>
    <n v="26.73"/>
    <x v="1"/>
    <x v="1"/>
    <x v="0"/>
  </r>
  <r>
    <s v="NVN-66443-451"/>
    <x v="352"/>
    <x v="396"/>
    <s v="R-D-1"/>
    <n v="2"/>
    <x v="396"/>
    <s v="adarthbt@t.co"/>
    <x v="0"/>
    <x v="0"/>
    <s v="D"/>
    <x v="0"/>
    <n v="8.9499999999999993"/>
    <n v="17.899999999999999"/>
    <x v="0"/>
    <x v="2"/>
    <x v="1"/>
  </r>
  <r>
    <s v="JUA-13580-095"/>
    <x v="102"/>
    <x v="397"/>
    <s v="R-L-0.2"/>
    <n v="4"/>
    <x v="397"/>
    <s v="mdarrigoebu@hud.gov"/>
    <x v="1"/>
    <x v="0"/>
    <s v="L"/>
    <x v="3"/>
    <n v="3.5849999999999995"/>
    <n v="14.339999999999998"/>
    <x v="0"/>
    <x v="1"/>
    <x v="0"/>
  </r>
  <r>
    <s v="ACY-56225-839"/>
    <x v="353"/>
    <x v="398"/>
    <s v="A-M-2.5"/>
    <n v="3"/>
    <x v="398"/>
    <s v=""/>
    <x v="0"/>
    <x v="2"/>
    <s v="M"/>
    <x v="2"/>
    <n v="25.874999999999996"/>
    <n v="77.624999999999986"/>
    <x v="2"/>
    <x v="0"/>
    <x v="0"/>
  </r>
  <r>
    <s v="QBB-07903-622"/>
    <x v="354"/>
    <x v="399"/>
    <s v="R-L-1"/>
    <n v="5"/>
    <x v="399"/>
    <s v="mackrillbw@bandcamp.com"/>
    <x v="0"/>
    <x v="0"/>
    <s v="L"/>
    <x v="0"/>
    <n v="11.95"/>
    <n v="59.75"/>
    <x v="0"/>
    <x v="1"/>
    <x v="1"/>
  </r>
  <r>
    <s v="JLJ-81802-619"/>
    <x v="135"/>
    <x v="347"/>
    <s v="A-L-1"/>
    <n v="6"/>
    <x v="347"/>
    <s v="tfarraac@behance.net"/>
    <x v="0"/>
    <x v="2"/>
    <s v="L"/>
    <x v="0"/>
    <n v="12.95"/>
    <n v="77.699999999999989"/>
    <x v="2"/>
    <x v="1"/>
    <x v="1"/>
  </r>
  <r>
    <s v="HFT-77191-168"/>
    <x v="343"/>
    <x v="400"/>
    <s v="R-D-0.2"/>
    <n v="2"/>
    <x v="400"/>
    <s v="mkippenby@dion.ne.jp"/>
    <x v="0"/>
    <x v="0"/>
    <s v="D"/>
    <x v="3"/>
    <n v="2.6849999999999996"/>
    <n v="5.3699999999999992"/>
    <x v="0"/>
    <x v="2"/>
    <x v="0"/>
  </r>
  <r>
    <s v="SZR-35951-530"/>
    <x v="89"/>
    <x v="401"/>
    <s v="E-D-2.5"/>
    <n v="3"/>
    <x v="401"/>
    <s v="wransonbz@ted.com"/>
    <x v="1"/>
    <x v="1"/>
    <s v="D"/>
    <x v="2"/>
    <n v="27.945"/>
    <n v="83.835000000000008"/>
    <x v="1"/>
    <x v="2"/>
    <x v="0"/>
  </r>
  <r>
    <s v="IKL-95976-565"/>
    <x v="355"/>
    <x v="402"/>
    <s v="A-M-1"/>
    <n v="2"/>
    <x v="402"/>
    <s v=""/>
    <x v="0"/>
    <x v="2"/>
    <s v="M"/>
    <x v="0"/>
    <n v="11.25"/>
    <n v="22.5"/>
    <x v="2"/>
    <x v="0"/>
    <x v="1"/>
  </r>
  <r>
    <s v="XEY-48929-474"/>
    <x v="204"/>
    <x v="403"/>
    <s v="L-M-2.5"/>
    <n v="6"/>
    <x v="403"/>
    <s v="lrignoldc1@miibeian.gov.cn"/>
    <x v="0"/>
    <x v="3"/>
    <s v="M"/>
    <x v="2"/>
    <n v="33.464999999999996"/>
    <n v="200.78999999999996"/>
    <x v="3"/>
    <x v="0"/>
    <x v="0"/>
  </r>
  <r>
    <s v="SQT-07286-736"/>
    <x v="356"/>
    <x v="404"/>
    <s v="A-M-1"/>
    <n v="6"/>
    <x v="404"/>
    <s v=""/>
    <x v="0"/>
    <x v="2"/>
    <s v="M"/>
    <x v="0"/>
    <n v="11.25"/>
    <n v="67.5"/>
    <x v="2"/>
    <x v="0"/>
    <x v="1"/>
  </r>
  <r>
    <s v="QDU-45390-361"/>
    <x v="357"/>
    <x v="405"/>
    <s v="E-M-0.5"/>
    <n v="1"/>
    <x v="405"/>
    <s v="crowthornc3@msn.com"/>
    <x v="0"/>
    <x v="1"/>
    <s v="M"/>
    <x v="1"/>
    <n v="8.25"/>
    <n v="8.25"/>
    <x v="1"/>
    <x v="0"/>
    <x v="1"/>
  </r>
  <r>
    <s v="RUJ-30649-712"/>
    <x v="300"/>
    <x v="406"/>
    <s v="L-L-0.2"/>
    <n v="2"/>
    <x v="406"/>
    <s v="orylandc4@deviantart.com"/>
    <x v="0"/>
    <x v="3"/>
    <s v="L"/>
    <x v="3"/>
    <n v="4.7549999999999999"/>
    <n v="9.51"/>
    <x v="3"/>
    <x v="1"/>
    <x v="0"/>
  </r>
  <r>
    <s v="WSV-49732-075"/>
    <x v="358"/>
    <x v="407"/>
    <s v="L-D-2.5"/>
    <n v="1"/>
    <x v="407"/>
    <s v=""/>
    <x v="0"/>
    <x v="3"/>
    <s v="D"/>
    <x v="2"/>
    <n v="29.784999999999997"/>
    <n v="29.784999999999997"/>
    <x v="3"/>
    <x v="2"/>
    <x v="1"/>
  </r>
  <r>
    <s v="VJF-46305-323"/>
    <x v="161"/>
    <x v="408"/>
    <s v="L-D-0.5"/>
    <n v="2"/>
    <x v="408"/>
    <s v="msesonck@census.gov"/>
    <x v="0"/>
    <x v="3"/>
    <s v="D"/>
    <x v="1"/>
    <n v="7.77"/>
    <n v="15.54"/>
    <x v="3"/>
    <x v="2"/>
    <x v="1"/>
  </r>
  <r>
    <s v="CXD-74176-600"/>
    <x v="129"/>
    <x v="409"/>
    <s v="E-L-0.5"/>
    <n v="4"/>
    <x v="409"/>
    <s v="craglessc7@webmd.com"/>
    <x v="1"/>
    <x v="1"/>
    <s v="L"/>
    <x v="1"/>
    <n v="8.91"/>
    <n v="35.64"/>
    <x v="1"/>
    <x v="1"/>
    <x v="1"/>
  </r>
  <r>
    <s v="ADX-50674-975"/>
    <x v="359"/>
    <x v="410"/>
    <s v="A-M-2.5"/>
    <n v="4"/>
    <x v="410"/>
    <s v="fhollowsc8@blogtalkradio.com"/>
    <x v="0"/>
    <x v="2"/>
    <s v="M"/>
    <x v="2"/>
    <n v="25.874999999999996"/>
    <n v="103.49999999999999"/>
    <x v="2"/>
    <x v="0"/>
    <x v="0"/>
  </r>
  <r>
    <s v="RRP-51647-420"/>
    <x v="360"/>
    <x v="411"/>
    <s v="E-D-1"/>
    <n v="3"/>
    <x v="411"/>
    <s v="llathleiffc9@nationalgeographic.com"/>
    <x v="1"/>
    <x v="1"/>
    <s v="D"/>
    <x v="0"/>
    <n v="12.15"/>
    <n v="36.450000000000003"/>
    <x v="1"/>
    <x v="2"/>
    <x v="0"/>
  </r>
  <r>
    <s v="PKJ-99134-523"/>
    <x v="361"/>
    <x v="412"/>
    <s v="R-L-0.5"/>
    <n v="5"/>
    <x v="412"/>
    <s v="kheadsca@jalbum.net"/>
    <x v="0"/>
    <x v="0"/>
    <s v="L"/>
    <x v="1"/>
    <n v="7.169999999999999"/>
    <n v="35.849999999999994"/>
    <x v="0"/>
    <x v="1"/>
    <x v="1"/>
  </r>
  <r>
    <s v="FZQ-29439-457"/>
    <x v="362"/>
    <x v="413"/>
    <s v="E-L-0.2"/>
    <n v="5"/>
    <x v="413"/>
    <s v="tbownecb@unicef.org"/>
    <x v="1"/>
    <x v="1"/>
    <s v="L"/>
    <x v="3"/>
    <n v="4.4550000000000001"/>
    <n v="22.274999999999999"/>
    <x v="1"/>
    <x v="1"/>
    <x v="0"/>
  </r>
  <r>
    <s v="USN-68115-161"/>
    <x v="363"/>
    <x v="414"/>
    <s v="E-M-0.2"/>
    <n v="6"/>
    <x v="414"/>
    <s v="rjacquemardcc@acquirethisname.com"/>
    <x v="1"/>
    <x v="1"/>
    <s v="M"/>
    <x v="3"/>
    <n v="4.125"/>
    <n v="24.75"/>
    <x v="1"/>
    <x v="0"/>
    <x v="1"/>
  </r>
  <r>
    <s v="IXU-20263-532"/>
    <x v="364"/>
    <x v="415"/>
    <s v="L-M-2.5"/>
    <n v="2"/>
    <x v="415"/>
    <s v="kwarmancd@printfriendly.com"/>
    <x v="1"/>
    <x v="3"/>
    <s v="M"/>
    <x v="2"/>
    <n v="33.464999999999996"/>
    <n v="66.929999999999993"/>
    <x v="3"/>
    <x v="0"/>
    <x v="0"/>
  </r>
  <r>
    <s v="CBT-15092-420"/>
    <x v="85"/>
    <x v="416"/>
    <s v="L-M-0.5"/>
    <n v="1"/>
    <x v="416"/>
    <s v="wcholomince@about.com"/>
    <x v="2"/>
    <x v="3"/>
    <s v="M"/>
    <x v="1"/>
    <n v="8.73"/>
    <n v="8.73"/>
    <x v="3"/>
    <x v="0"/>
    <x v="0"/>
  </r>
  <r>
    <s v="PKQ-46841-696"/>
    <x v="365"/>
    <x v="417"/>
    <s v="R-M-0.5"/>
    <n v="3"/>
    <x v="417"/>
    <s v="abraidmancf@census.gov"/>
    <x v="0"/>
    <x v="0"/>
    <s v="M"/>
    <x v="1"/>
    <n v="5.97"/>
    <n v="17.91"/>
    <x v="0"/>
    <x v="0"/>
    <x v="1"/>
  </r>
  <r>
    <s v="XDU-05471-219"/>
    <x v="366"/>
    <x v="418"/>
    <s v="R-L-0.5"/>
    <n v="1"/>
    <x v="418"/>
    <s v="pdurbancg@symantec.com"/>
    <x v="1"/>
    <x v="0"/>
    <s v="L"/>
    <x v="1"/>
    <n v="7.169999999999999"/>
    <n v="7.169999999999999"/>
    <x v="0"/>
    <x v="1"/>
    <x v="1"/>
  </r>
  <r>
    <s v="NID-20149-329"/>
    <x v="367"/>
    <x v="419"/>
    <s v="R-D-0.2"/>
    <n v="2"/>
    <x v="419"/>
    <s v="aharroldch@miibeian.gov.cn"/>
    <x v="0"/>
    <x v="0"/>
    <s v="D"/>
    <x v="3"/>
    <n v="2.6849999999999996"/>
    <n v="5.3699999999999992"/>
    <x v="0"/>
    <x v="2"/>
    <x v="1"/>
  </r>
  <r>
    <s v="SVU-27222-213"/>
    <x v="142"/>
    <x v="420"/>
    <s v="L-L-0.2"/>
    <n v="5"/>
    <x v="420"/>
    <s v="spamphilonci@mlb.com"/>
    <x v="1"/>
    <x v="3"/>
    <s v="L"/>
    <x v="3"/>
    <n v="4.7549999999999999"/>
    <n v="23.774999999999999"/>
    <x v="3"/>
    <x v="1"/>
    <x v="1"/>
  </r>
  <r>
    <s v="RWI-84131-848"/>
    <x v="368"/>
    <x v="421"/>
    <s v="R-D-2.5"/>
    <n v="2"/>
    <x v="421"/>
    <s v="mspurdencj@exblog.jp"/>
    <x v="0"/>
    <x v="0"/>
    <s v="D"/>
    <x v="2"/>
    <n v="20.584999999999997"/>
    <n v="41.169999999999995"/>
    <x v="0"/>
    <x v="2"/>
    <x v="0"/>
  </r>
  <r>
    <s v="GUU-40666-525"/>
    <x v="31"/>
    <x v="408"/>
    <s v="A-L-0.2"/>
    <n v="3"/>
    <x v="408"/>
    <s v="msesonck@census.gov"/>
    <x v="0"/>
    <x v="2"/>
    <s v="L"/>
    <x v="3"/>
    <n v="3.8849999999999998"/>
    <n v="11.654999999999999"/>
    <x v="2"/>
    <x v="1"/>
    <x v="1"/>
  </r>
  <r>
    <s v="SCN-51395-066"/>
    <x v="369"/>
    <x v="422"/>
    <s v="L-L-0.5"/>
    <n v="4"/>
    <x v="422"/>
    <s v="npirronecl@weibo.com"/>
    <x v="0"/>
    <x v="3"/>
    <s v="L"/>
    <x v="1"/>
    <n v="9.51"/>
    <n v="38.04"/>
    <x v="3"/>
    <x v="1"/>
    <x v="1"/>
  </r>
  <r>
    <s v="ULA-24644-321"/>
    <x v="370"/>
    <x v="423"/>
    <s v="R-D-2.5"/>
    <n v="4"/>
    <x v="423"/>
    <s v="rcawleycm@yellowbook.com"/>
    <x v="1"/>
    <x v="0"/>
    <s v="D"/>
    <x v="2"/>
    <n v="20.584999999999997"/>
    <n v="82.339999999999989"/>
    <x v="0"/>
    <x v="2"/>
    <x v="0"/>
  </r>
  <r>
    <s v="EOL-92666-762"/>
    <x v="371"/>
    <x v="424"/>
    <s v="L-L-0.2"/>
    <n v="2"/>
    <x v="424"/>
    <s v="sbarribalcn@microsoft.com"/>
    <x v="1"/>
    <x v="3"/>
    <s v="L"/>
    <x v="3"/>
    <n v="4.7549999999999999"/>
    <n v="9.51"/>
    <x v="3"/>
    <x v="1"/>
    <x v="0"/>
  </r>
  <r>
    <s v="AJV-18231-334"/>
    <x v="372"/>
    <x v="425"/>
    <s v="R-D-2.5"/>
    <n v="2"/>
    <x v="425"/>
    <s v="aadamidesco@bizjournals.com"/>
    <x v="2"/>
    <x v="0"/>
    <s v="D"/>
    <x v="2"/>
    <n v="20.584999999999997"/>
    <n v="41.169999999999995"/>
    <x v="0"/>
    <x v="2"/>
    <x v="1"/>
  </r>
  <r>
    <s v="ZQI-47236-301"/>
    <x v="373"/>
    <x v="426"/>
    <s v="L-L-0.5"/>
    <n v="5"/>
    <x v="426"/>
    <s v="cthowescp@craigslist.org"/>
    <x v="0"/>
    <x v="3"/>
    <s v="L"/>
    <x v="1"/>
    <n v="9.51"/>
    <n v="47.55"/>
    <x v="3"/>
    <x v="1"/>
    <x v="1"/>
  </r>
  <r>
    <s v="ZCR-15721-658"/>
    <x v="374"/>
    <x v="427"/>
    <s v="A-M-1"/>
    <n v="4"/>
    <x v="427"/>
    <s v="rwillowaycq@admin.ch"/>
    <x v="0"/>
    <x v="2"/>
    <s v="M"/>
    <x v="0"/>
    <n v="11.25"/>
    <n v="45"/>
    <x v="2"/>
    <x v="0"/>
    <x v="1"/>
  </r>
  <r>
    <s v="QEW-47945-682"/>
    <x v="319"/>
    <x v="428"/>
    <s v="L-L-0.2"/>
    <n v="5"/>
    <x v="428"/>
    <s v="aelwincr@privacy.gov.au"/>
    <x v="0"/>
    <x v="3"/>
    <s v="L"/>
    <x v="3"/>
    <n v="4.7549999999999999"/>
    <n v="23.774999999999999"/>
    <x v="3"/>
    <x v="1"/>
    <x v="1"/>
  </r>
  <r>
    <s v="PSY-45485-542"/>
    <x v="375"/>
    <x v="429"/>
    <s v="R-D-0.5"/>
    <n v="3"/>
    <x v="429"/>
    <s v="abilbrookcs@booking.com"/>
    <x v="1"/>
    <x v="0"/>
    <s v="D"/>
    <x v="1"/>
    <n v="5.3699999999999992"/>
    <n v="16.11"/>
    <x v="0"/>
    <x v="2"/>
    <x v="0"/>
  </r>
  <r>
    <s v="BAQ-74241-156"/>
    <x v="376"/>
    <x v="430"/>
    <s v="R-D-0.2"/>
    <n v="4"/>
    <x v="430"/>
    <s v="rmckallct@sakura.ne.jp"/>
    <x v="2"/>
    <x v="0"/>
    <s v="D"/>
    <x v="3"/>
    <n v="2.6849999999999996"/>
    <n v="10.739999999999998"/>
    <x v="0"/>
    <x v="2"/>
    <x v="0"/>
  </r>
  <r>
    <s v="BVU-77367-451"/>
    <x v="377"/>
    <x v="431"/>
    <s v="A-D-1"/>
    <n v="5"/>
    <x v="431"/>
    <s v="bdailecu@vistaprint.com"/>
    <x v="0"/>
    <x v="2"/>
    <s v="D"/>
    <x v="0"/>
    <n v="9.9499999999999993"/>
    <n v="49.75"/>
    <x v="2"/>
    <x v="2"/>
    <x v="0"/>
  </r>
  <r>
    <s v="TJE-91516-344"/>
    <x v="378"/>
    <x v="432"/>
    <s v="E-M-1"/>
    <n v="2"/>
    <x v="432"/>
    <s v="atrehernecv@state.tx.us"/>
    <x v="1"/>
    <x v="1"/>
    <s v="M"/>
    <x v="0"/>
    <n v="13.75"/>
    <n v="27.5"/>
    <x v="1"/>
    <x v="0"/>
    <x v="1"/>
  </r>
  <r>
    <s v="LIS-96202-702"/>
    <x v="277"/>
    <x v="433"/>
    <s v="L-D-2.5"/>
    <n v="4"/>
    <x v="433"/>
    <s v="abrentnallcw@biglobe.ne.jp"/>
    <x v="2"/>
    <x v="3"/>
    <s v="D"/>
    <x v="2"/>
    <n v="29.784999999999997"/>
    <n v="119.13999999999999"/>
    <x v="3"/>
    <x v="2"/>
    <x v="1"/>
  </r>
  <r>
    <s v="VIO-27668-766"/>
    <x v="379"/>
    <x v="434"/>
    <s v="R-D-2.5"/>
    <n v="1"/>
    <x v="434"/>
    <s v="ddrinkallcx@psu.edu"/>
    <x v="0"/>
    <x v="0"/>
    <s v="D"/>
    <x v="2"/>
    <n v="20.584999999999997"/>
    <n v="20.584999999999997"/>
    <x v="0"/>
    <x v="2"/>
    <x v="0"/>
  </r>
  <r>
    <s v="ZVG-20473-043"/>
    <x v="86"/>
    <x v="435"/>
    <s v="A-D-0.2"/>
    <n v="3"/>
    <x v="435"/>
    <s v="dkornelcy@cyberchimps.com"/>
    <x v="0"/>
    <x v="2"/>
    <s v="D"/>
    <x v="3"/>
    <n v="2.9849999999999999"/>
    <n v="8.9550000000000001"/>
    <x v="2"/>
    <x v="2"/>
    <x v="0"/>
  </r>
  <r>
    <s v="KGZ-56395-231"/>
    <x v="380"/>
    <x v="436"/>
    <s v="A-D-0.5"/>
    <n v="1"/>
    <x v="436"/>
    <s v="rlequeuxcz@newyorker.com"/>
    <x v="0"/>
    <x v="2"/>
    <s v="D"/>
    <x v="1"/>
    <n v="5.97"/>
    <n v="5.97"/>
    <x v="2"/>
    <x v="2"/>
    <x v="1"/>
  </r>
  <r>
    <s v="CUU-92244-729"/>
    <x v="381"/>
    <x v="437"/>
    <s v="E-M-1"/>
    <n v="3"/>
    <x v="437"/>
    <s v="jmccaulld0@parallels.com"/>
    <x v="0"/>
    <x v="1"/>
    <s v="M"/>
    <x v="0"/>
    <n v="13.75"/>
    <n v="41.25"/>
    <x v="1"/>
    <x v="0"/>
    <x v="0"/>
  </r>
  <r>
    <s v="EHE-94714-312"/>
    <x v="382"/>
    <x v="438"/>
    <s v="E-L-0.2"/>
    <n v="5"/>
    <x v="438"/>
    <s v="abrashda@plala.or.jp"/>
    <x v="0"/>
    <x v="1"/>
    <s v="L"/>
    <x v="3"/>
    <n v="4.4550000000000001"/>
    <n v="22.274999999999999"/>
    <x v="1"/>
    <x v="1"/>
    <x v="0"/>
  </r>
  <r>
    <s v="RTL-16205-161"/>
    <x v="11"/>
    <x v="439"/>
    <s v="A-M-0.5"/>
    <n v="1"/>
    <x v="439"/>
    <s v="ahutchinsond2@imgur.com"/>
    <x v="0"/>
    <x v="2"/>
    <s v="M"/>
    <x v="1"/>
    <n v="6.75"/>
    <n v="6.75"/>
    <x v="2"/>
    <x v="0"/>
    <x v="0"/>
  </r>
  <r>
    <s v="GTS-22482-014"/>
    <x v="167"/>
    <x v="440"/>
    <s v="L-M-2.5"/>
    <n v="4"/>
    <x v="440"/>
    <s v=""/>
    <x v="0"/>
    <x v="3"/>
    <s v="M"/>
    <x v="2"/>
    <n v="33.464999999999996"/>
    <n v="133.85999999999999"/>
    <x v="3"/>
    <x v="0"/>
    <x v="0"/>
  </r>
  <r>
    <s v="DYG-25473-881"/>
    <x v="383"/>
    <x v="441"/>
    <s v="A-D-0.2"/>
    <n v="2"/>
    <x v="441"/>
    <s v="rdriversd4@hexun.com"/>
    <x v="0"/>
    <x v="2"/>
    <s v="D"/>
    <x v="3"/>
    <n v="2.9849999999999999"/>
    <n v="5.97"/>
    <x v="2"/>
    <x v="2"/>
    <x v="1"/>
  </r>
  <r>
    <s v="HTR-21838-286"/>
    <x v="18"/>
    <x v="442"/>
    <s v="A-L-1"/>
    <n v="2"/>
    <x v="442"/>
    <s v="hzeald5@google.de"/>
    <x v="0"/>
    <x v="2"/>
    <s v="L"/>
    <x v="0"/>
    <n v="12.95"/>
    <n v="25.9"/>
    <x v="2"/>
    <x v="1"/>
    <x v="1"/>
  </r>
  <r>
    <s v="KYG-28296-920"/>
    <x v="84"/>
    <x v="443"/>
    <s v="E-M-2.5"/>
    <n v="1"/>
    <x v="443"/>
    <s v="gsmallcombed6@ucla.edu"/>
    <x v="1"/>
    <x v="1"/>
    <s v="M"/>
    <x v="2"/>
    <n v="31.624999999999996"/>
    <n v="31.624999999999996"/>
    <x v="1"/>
    <x v="0"/>
    <x v="0"/>
  </r>
  <r>
    <s v="NNB-20459-430"/>
    <x v="384"/>
    <x v="444"/>
    <s v="L-M-0.2"/>
    <n v="2"/>
    <x v="444"/>
    <s v="ddibleyd7@feedburner.com"/>
    <x v="0"/>
    <x v="3"/>
    <s v="M"/>
    <x v="3"/>
    <n v="4.3650000000000002"/>
    <n v="8.73"/>
    <x v="3"/>
    <x v="0"/>
    <x v="1"/>
  </r>
  <r>
    <s v="FEK-14025-351"/>
    <x v="385"/>
    <x v="445"/>
    <s v="E-L-0.2"/>
    <n v="6"/>
    <x v="445"/>
    <s v="gdimitrioud8@chronoengine.com"/>
    <x v="0"/>
    <x v="1"/>
    <s v="L"/>
    <x v="3"/>
    <n v="4.4550000000000001"/>
    <n v="26.73"/>
    <x v="1"/>
    <x v="1"/>
    <x v="0"/>
  </r>
  <r>
    <s v="AWH-16980-469"/>
    <x v="386"/>
    <x v="446"/>
    <s v="L-M-0.2"/>
    <n v="6"/>
    <x v="446"/>
    <s v="fflanagand9@woothemes.com"/>
    <x v="0"/>
    <x v="3"/>
    <s v="M"/>
    <x v="3"/>
    <n v="4.3650000000000002"/>
    <n v="26.19"/>
    <x v="3"/>
    <x v="0"/>
    <x v="1"/>
  </r>
  <r>
    <s v="ZPW-31329-741"/>
    <x v="387"/>
    <x v="438"/>
    <s v="R-D-1"/>
    <n v="6"/>
    <x v="438"/>
    <s v="abrashda@plala.or.jp"/>
    <x v="0"/>
    <x v="0"/>
    <s v="D"/>
    <x v="0"/>
    <n v="8.9499999999999993"/>
    <n v="53.699999999999996"/>
    <x v="0"/>
    <x v="2"/>
    <x v="0"/>
  </r>
  <r>
    <s v="ZPW-31329-741"/>
    <x v="387"/>
    <x v="438"/>
    <s v="E-M-2.5"/>
    <n v="4"/>
    <x v="438"/>
    <s v="abrashda@plala.or.jp"/>
    <x v="0"/>
    <x v="1"/>
    <s v="M"/>
    <x v="2"/>
    <n v="31.624999999999996"/>
    <n v="126.49999999999999"/>
    <x v="1"/>
    <x v="0"/>
    <x v="0"/>
  </r>
  <r>
    <s v="ZPW-31329-741"/>
    <x v="387"/>
    <x v="438"/>
    <s v="E-M-0.2"/>
    <n v="1"/>
    <x v="438"/>
    <s v="abrashda@plala.or.jp"/>
    <x v="0"/>
    <x v="1"/>
    <s v="M"/>
    <x v="3"/>
    <n v="4.125"/>
    <n v="4.125"/>
    <x v="1"/>
    <x v="0"/>
    <x v="0"/>
  </r>
  <r>
    <s v="UBI-83843-396"/>
    <x v="388"/>
    <x v="447"/>
    <s v="R-L-1"/>
    <n v="2"/>
    <x v="447"/>
    <s v="nizhakovdd@aol.com"/>
    <x v="2"/>
    <x v="0"/>
    <s v="L"/>
    <x v="0"/>
    <n v="11.95"/>
    <n v="23.9"/>
    <x v="0"/>
    <x v="1"/>
    <x v="1"/>
  </r>
  <r>
    <s v="VID-40587-569"/>
    <x v="389"/>
    <x v="448"/>
    <s v="E-D-2.5"/>
    <n v="5"/>
    <x v="448"/>
    <s v="skeetsde@answers.com"/>
    <x v="0"/>
    <x v="1"/>
    <s v="D"/>
    <x v="2"/>
    <n v="27.945"/>
    <n v="139.72499999999999"/>
    <x v="1"/>
    <x v="2"/>
    <x v="0"/>
  </r>
  <r>
    <s v="KBB-52530-416"/>
    <x v="229"/>
    <x v="449"/>
    <s v="L-D-2.5"/>
    <n v="2"/>
    <x v="449"/>
    <s v=""/>
    <x v="0"/>
    <x v="3"/>
    <s v="D"/>
    <x v="2"/>
    <n v="29.784999999999997"/>
    <n v="59.569999999999993"/>
    <x v="3"/>
    <x v="2"/>
    <x v="0"/>
  </r>
  <r>
    <s v="ISJ-48676-420"/>
    <x v="390"/>
    <x v="450"/>
    <s v="L-L-0.5"/>
    <n v="6"/>
    <x v="450"/>
    <s v="kcakedg@huffingtonpost.com"/>
    <x v="0"/>
    <x v="3"/>
    <s v="L"/>
    <x v="1"/>
    <n v="9.51"/>
    <n v="57.06"/>
    <x v="3"/>
    <x v="1"/>
    <x v="1"/>
  </r>
  <r>
    <s v="MIF-17920-768"/>
    <x v="391"/>
    <x v="451"/>
    <s v="R-L-0.2"/>
    <n v="6"/>
    <x v="451"/>
    <s v="mhanseddh@instagram.com"/>
    <x v="1"/>
    <x v="0"/>
    <s v="L"/>
    <x v="3"/>
    <n v="3.5849999999999995"/>
    <n v="21.509999999999998"/>
    <x v="0"/>
    <x v="1"/>
    <x v="0"/>
  </r>
  <r>
    <s v="CPX-19312-088"/>
    <x v="117"/>
    <x v="452"/>
    <s v="L-M-0.5"/>
    <n v="6"/>
    <x v="452"/>
    <s v="fkienleindi@trellian.com"/>
    <x v="1"/>
    <x v="3"/>
    <s v="M"/>
    <x v="1"/>
    <n v="8.73"/>
    <n v="52.38"/>
    <x v="3"/>
    <x v="0"/>
    <x v="0"/>
  </r>
  <r>
    <s v="RXI-67978-260"/>
    <x v="392"/>
    <x v="453"/>
    <s v="E-D-1"/>
    <n v="6"/>
    <x v="453"/>
    <s v="kegglestonedj@sphinn.com"/>
    <x v="1"/>
    <x v="1"/>
    <s v="D"/>
    <x v="0"/>
    <n v="12.15"/>
    <n v="72.900000000000006"/>
    <x v="1"/>
    <x v="2"/>
    <x v="1"/>
  </r>
  <r>
    <s v="LKE-14821-285"/>
    <x v="393"/>
    <x v="454"/>
    <s v="R-M-0.2"/>
    <n v="5"/>
    <x v="454"/>
    <s v="bsemkinsdk@unc.edu"/>
    <x v="1"/>
    <x v="0"/>
    <s v="M"/>
    <x v="3"/>
    <n v="2.9849999999999999"/>
    <n v="14.924999999999999"/>
    <x v="0"/>
    <x v="0"/>
    <x v="0"/>
  </r>
  <r>
    <s v="LRK-97117-150"/>
    <x v="394"/>
    <x v="455"/>
    <s v="L-L-1"/>
    <n v="6"/>
    <x v="455"/>
    <s v="slorenzettidl@is.gd"/>
    <x v="0"/>
    <x v="3"/>
    <s v="L"/>
    <x v="0"/>
    <n v="15.85"/>
    <n v="95.1"/>
    <x v="3"/>
    <x v="1"/>
    <x v="1"/>
  </r>
  <r>
    <s v="IGK-51227-573"/>
    <x v="137"/>
    <x v="456"/>
    <s v="L-D-0.5"/>
    <n v="2"/>
    <x v="456"/>
    <s v="bgiannazzidm@apple.com"/>
    <x v="0"/>
    <x v="3"/>
    <s v="D"/>
    <x v="1"/>
    <n v="7.77"/>
    <n v="15.54"/>
    <x v="3"/>
    <x v="2"/>
    <x v="1"/>
  </r>
  <r>
    <s v="ZAY-43009-775"/>
    <x v="395"/>
    <x v="457"/>
    <s v="L-D-0.2"/>
    <n v="6"/>
    <x v="457"/>
    <s v=""/>
    <x v="0"/>
    <x v="3"/>
    <s v="D"/>
    <x v="3"/>
    <n v="3.8849999999999998"/>
    <n v="23.31"/>
    <x v="3"/>
    <x v="2"/>
    <x v="1"/>
  </r>
  <r>
    <s v="EMA-63190-618"/>
    <x v="396"/>
    <x v="458"/>
    <s v="E-M-0.2"/>
    <n v="1"/>
    <x v="458"/>
    <s v="ulethbrigdo@hc360.com"/>
    <x v="0"/>
    <x v="1"/>
    <s v="M"/>
    <x v="3"/>
    <n v="4.125"/>
    <n v="4.125"/>
    <x v="1"/>
    <x v="0"/>
    <x v="0"/>
  </r>
  <r>
    <s v="FBI-35855-418"/>
    <x v="189"/>
    <x v="459"/>
    <s v="R-M-0.5"/>
    <n v="6"/>
    <x v="459"/>
    <s v="sfarnishdp@dmoz.org"/>
    <x v="2"/>
    <x v="0"/>
    <s v="M"/>
    <x v="1"/>
    <n v="5.97"/>
    <n v="35.82"/>
    <x v="0"/>
    <x v="0"/>
    <x v="1"/>
  </r>
  <r>
    <s v="TXB-80533-417"/>
    <x v="8"/>
    <x v="460"/>
    <s v="L-L-1"/>
    <n v="2"/>
    <x v="460"/>
    <s v="fjecockdq@unicef.org"/>
    <x v="0"/>
    <x v="3"/>
    <s v="L"/>
    <x v="0"/>
    <n v="15.85"/>
    <n v="31.7"/>
    <x v="3"/>
    <x v="1"/>
    <x v="1"/>
  </r>
  <r>
    <s v="MBM-00112-248"/>
    <x v="397"/>
    <x v="461"/>
    <s v="L-L-1"/>
    <n v="5"/>
    <x v="461"/>
    <s v=""/>
    <x v="0"/>
    <x v="3"/>
    <s v="L"/>
    <x v="0"/>
    <n v="15.85"/>
    <n v="79.25"/>
    <x v="3"/>
    <x v="1"/>
    <x v="0"/>
  </r>
  <r>
    <s v="EUO-69145-988"/>
    <x v="398"/>
    <x v="462"/>
    <s v="E-D-0.2"/>
    <n v="3"/>
    <x v="462"/>
    <s v="hpallisterds@ning.com"/>
    <x v="0"/>
    <x v="1"/>
    <s v="D"/>
    <x v="3"/>
    <n v="3.645"/>
    <n v="10.935"/>
    <x v="1"/>
    <x v="2"/>
    <x v="1"/>
  </r>
  <r>
    <s v="GYA-80327-368"/>
    <x v="399"/>
    <x v="463"/>
    <s v="A-D-1"/>
    <n v="4"/>
    <x v="463"/>
    <s v="cmershdt@drupal.org"/>
    <x v="1"/>
    <x v="2"/>
    <s v="D"/>
    <x v="0"/>
    <n v="9.9499999999999993"/>
    <n v="39.799999999999997"/>
    <x v="2"/>
    <x v="2"/>
    <x v="1"/>
  </r>
  <r>
    <s v="TNW-41601-420"/>
    <x v="400"/>
    <x v="464"/>
    <s v="R-M-1"/>
    <n v="5"/>
    <x v="464"/>
    <s v="murione5@alexa.com"/>
    <x v="1"/>
    <x v="0"/>
    <s v="M"/>
    <x v="0"/>
    <n v="9.9499999999999993"/>
    <n v="49.75"/>
    <x v="0"/>
    <x v="0"/>
    <x v="0"/>
  </r>
  <r>
    <s v="ALR-62963-723"/>
    <x v="401"/>
    <x v="465"/>
    <s v="R-D-0.2"/>
    <n v="3"/>
    <x v="465"/>
    <s v=""/>
    <x v="1"/>
    <x v="0"/>
    <s v="D"/>
    <x v="3"/>
    <n v="2.6849999999999996"/>
    <n v="8.0549999999999997"/>
    <x v="0"/>
    <x v="2"/>
    <x v="0"/>
  </r>
  <r>
    <s v="JIG-27636-870"/>
    <x v="402"/>
    <x v="466"/>
    <s v="R-L-1"/>
    <n v="4"/>
    <x v="466"/>
    <s v=""/>
    <x v="0"/>
    <x v="0"/>
    <s v="L"/>
    <x v="0"/>
    <n v="11.95"/>
    <n v="47.8"/>
    <x v="0"/>
    <x v="1"/>
    <x v="1"/>
  </r>
  <r>
    <s v="CTE-31437-326"/>
    <x v="6"/>
    <x v="467"/>
    <s v="R-M-0.2"/>
    <n v="4"/>
    <x v="467"/>
    <s v="gduckerdx@patch.com"/>
    <x v="2"/>
    <x v="0"/>
    <s v="M"/>
    <x v="3"/>
    <n v="2.9849999999999999"/>
    <n v="11.94"/>
    <x v="0"/>
    <x v="0"/>
    <x v="1"/>
  </r>
  <r>
    <s v="CTE-31437-326"/>
    <x v="6"/>
    <x v="467"/>
    <s v="E-M-0.2"/>
    <n v="4"/>
    <x v="467"/>
    <s v="gduckerdx@patch.com"/>
    <x v="2"/>
    <x v="1"/>
    <s v="M"/>
    <x v="3"/>
    <n v="4.125"/>
    <n v="16.5"/>
    <x v="1"/>
    <x v="0"/>
    <x v="1"/>
  </r>
  <r>
    <s v="CTE-31437-326"/>
    <x v="6"/>
    <x v="467"/>
    <s v="L-D-1"/>
    <n v="4"/>
    <x v="467"/>
    <s v="gduckerdx@patch.com"/>
    <x v="2"/>
    <x v="3"/>
    <s v="D"/>
    <x v="0"/>
    <n v="12.95"/>
    <n v="51.8"/>
    <x v="3"/>
    <x v="2"/>
    <x v="1"/>
  </r>
  <r>
    <s v="CTE-31437-326"/>
    <x v="6"/>
    <x v="467"/>
    <s v="L-L-0.2"/>
    <n v="3"/>
    <x v="467"/>
    <s v="gduckerdx@patch.com"/>
    <x v="2"/>
    <x v="3"/>
    <s v="L"/>
    <x v="3"/>
    <n v="4.7549999999999999"/>
    <n v="14.265000000000001"/>
    <x v="3"/>
    <x v="1"/>
    <x v="1"/>
  </r>
  <r>
    <s v="SLD-63003-334"/>
    <x v="403"/>
    <x v="468"/>
    <s v="L-M-0.2"/>
    <n v="6"/>
    <x v="468"/>
    <s v="wstearleye1@census.gov"/>
    <x v="0"/>
    <x v="3"/>
    <s v="M"/>
    <x v="3"/>
    <n v="4.3650000000000002"/>
    <n v="26.19"/>
    <x v="3"/>
    <x v="0"/>
    <x v="1"/>
  </r>
  <r>
    <s v="BXN-64230-789"/>
    <x v="404"/>
    <x v="469"/>
    <s v="A-L-1"/>
    <n v="2"/>
    <x v="469"/>
    <s v="dwincere2@marriott.com"/>
    <x v="0"/>
    <x v="2"/>
    <s v="L"/>
    <x v="0"/>
    <n v="12.95"/>
    <n v="25.9"/>
    <x v="2"/>
    <x v="1"/>
    <x v="0"/>
  </r>
  <r>
    <s v="XEE-37895-169"/>
    <x v="21"/>
    <x v="470"/>
    <s v="A-L-2.5"/>
    <n v="3"/>
    <x v="470"/>
    <s v="plyfielde3@baidu.com"/>
    <x v="0"/>
    <x v="2"/>
    <s v="L"/>
    <x v="2"/>
    <n v="29.784999999999997"/>
    <n v="89.35499999999999"/>
    <x v="2"/>
    <x v="1"/>
    <x v="0"/>
  </r>
  <r>
    <s v="ZTX-80764-911"/>
    <x v="239"/>
    <x v="471"/>
    <s v="L-D-0.5"/>
    <n v="6"/>
    <x v="471"/>
    <s v="hperrise4@studiopress.com"/>
    <x v="1"/>
    <x v="3"/>
    <s v="D"/>
    <x v="1"/>
    <n v="7.77"/>
    <n v="46.62"/>
    <x v="3"/>
    <x v="2"/>
    <x v="1"/>
  </r>
  <r>
    <s v="WVT-88135-549"/>
    <x v="405"/>
    <x v="464"/>
    <s v="A-D-1"/>
    <n v="3"/>
    <x v="464"/>
    <s v="murione5@alexa.com"/>
    <x v="1"/>
    <x v="2"/>
    <s v="D"/>
    <x v="0"/>
    <n v="9.9499999999999993"/>
    <n v="29.849999999999998"/>
    <x v="2"/>
    <x v="2"/>
    <x v="0"/>
  </r>
  <r>
    <s v="IPA-94170-889"/>
    <x v="292"/>
    <x v="472"/>
    <s v="R-L-0.2"/>
    <n v="3"/>
    <x v="472"/>
    <s v="ckide6@narod.ru"/>
    <x v="1"/>
    <x v="0"/>
    <s v="L"/>
    <x v="3"/>
    <n v="3.5849999999999995"/>
    <n v="10.754999999999999"/>
    <x v="0"/>
    <x v="1"/>
    <x v="0"/>
  </r>
  <r>
    <s v="YQL-63755-365"/>
    <x v="117"/>
    <x v="473"/>
    <s v="A-M-0.2"/>
    <n v="4"/>
    <x v="473"/>
    <s v="cbeinee7@xinhuanet.com"/>
    <x v="0"/>
    <x v="2"/>
    <s v="M"/>
    <x v="3"/>
    <n v="3.375"/>
    <n v="13.5"/>
    <x v="2"/>
    <x v="0"/>
    <x v="0"/>
  </r>
  <r>
    <s v="RKW-81145-984"/>
    <x v="406"/>
    <x v="474"/>
    <s v="L-L-1"/>
    <n v="3"/>
    <x v="474"/>
    <s v="cbakeupe8@globo.com"/>
    <x v="0"/>
    <x v="3"/>
    <s v="L"/>
    <x v="0"/>
    <n v="15.85"/>
    <n v="47.55"/>
    <x v="3"/>
    <x v="1"/>
    <x v="1"/>
  </r>
  <r>
    <s v="MBT-23379-866"/>
    <x v="407"/>
    <x v="475"/>
    <s v="L-L-1"/>
    <n v="5"/>
    <x v="475"/>
    <s v="nhelkine9@example.com"/>
    <x v="0"/>
    <x v="3"/>
    <s v="L"/>
    <x v="0"/>
    <n v="15.85"/>
    <n v="79.25"/>
    <x v="3"/>
    <x v="1"/>
    <x v="1"/>
  </r>
  <r>
    <s v="GEJ-39834-935"/>
    <x v="408"/>
    <x v="476"/>
    <s v="L-M-0.2"/>
    <n v="6"/>
    <x v="476"/>
    <s v="pwitheringtonea@networkadvertising.org"/>
    <x v="0"/>
    <x v="3"/>
    <s v="M"/>
    <x v="3"/>
    <n v="4.3650000000000002"/>
    <n v="26.19"/>
    <x v="3"/>
    <x v="0"/>
    <x v="0"/>
  </r>
  <r>
    <s v="KRW-91640-596"/>
    <x v="409"/>
    <x v="477"/>
    <s v="R-L-0.5"/>
    <n v="3"/>
    <x v="477"/>
    <s v="ttilzeyeb@hostgator.com"/>
    <x v="0"/>
    <x v="0"/>
    <s v="L"/>
    <x v="1"/>
    <n v="7.169999999999999"/>
    <n v="21.509999999999998"/>
    <x v="0"/>
    <x v="1"/>
    <x v="1"/>
  </r>
  <r>
    <s v="AOT-70449-651"/>
    <x v="410"/>
    <x v="478"/>
    <s v="R-D-2.5"/>
    <n v="5"/>
    <x v="478"/>
    <s v=""/>
    <x v="0"/>
    <x v="0"/>
    <s v="D"/>
    <x v="2"/>
    <n v="20.584999999999997"/>
    <n v="102.92499999999998"/>
    <x v="0"/>
    <x v="2"/>
    <x v="0"/>
  </r>
  <r>
    <s v="DGC-21813-731"/>
    <x v="127"/>
    <x v="479"/>
    <s v="L-D-0.2"/>
    <n v="2"/>
    <x v="479"/>
    <s v=""/>
    <x v="0"/>
    <x v="3"/>
    <s v="D"/>
    <x v="3"/>
    <n v="3.8849999999999998"/>
    <n v="7.77"/>
    <x v="3"/>
    <x v="2"/>
    <x v="1"/>
  </r>
  <r>
    <s v="JBE-92943-643"/>
    <x v="411"/>
    <x v="480"/>
    <s v="E-D-2.5"/>
    <n v="5"/>
    <x v="480"/>
    <s v="kimortsee@alexa.com"/>
    <x v="0"/>
    <x v="1"/>
    <s v="D"/>
    <x v="2"/>
    <n v="27.945"/>
    <n v="139.72499999999999"/>
    <x v="1"/>
    <x v="2"/>
    <x v="1"/>
  </r>
  <r>
    <s v="ZIL-34948-499"/>
    <x v="112"/>
    <x v="464"/>
    <s v="A-D-0.5"/>
    <n v="2"/>
    <x v="464"/>
    <s v="murione5@alexa.com"/>
    <x v="1"/>
    <x v="2"/>
    <s v="D"/>
    <x v="1"/>
    <n v="5.97"/>
    <n v="11.94"/>
    <x v="2"/>
    <x v="2"/>
    <x v="0"/>
  </r>
  <r>
    <s v="JSU-23781-256"/>
    <x v="412"/>
    <x v="481"/>
    <s v="L-D-0.2"/>
    <n v="1"/>
    <x v="481"/>
    <s v="marmisteadeg@blogtalkradio.com"/>
    <x v="0"/>
    <x v="3"/>
    <s v="D"/>
    <x v="3"/>
    <n v="3.8849999999999998"/>
    <n v="3.8849999999999998"/>
    <x v="3"/>
    <x v="2"/>
    <x v="1"/>
  </r>
  <r>
    <s v="JSU-23781-256"/>
    <x v="412"/>
    <x v="481"/>
    <s v="R-M-1"/>
    <n v="4"/>
    <x v="481"/>
    <s v="marmisteadeg@blogtalkradio.com"/>
    <x v="0"/>
    <x v="0"/>
    <s v="M"/>
    <x v="0"/>
    <n v="9.9499999999999993"/>
    <n v="39.799999999999997"/>
    <x v="0"/>
    <x v="0"/>
    <x v="1"/>
  </r>
  <r>
    <s v="VPX-44956-367"/>
    <x v="413"/>
    <x v="482"/>
    <s v="R-M-0.5"/>
    <n v="5"/>
    <x v="482"/>
    <s v="vupstoneei@google.pl"/>
    <x v="0"/>
    <x v="0"/>
    <s v="M"/>
    <x v="1"/>
    <n v="5.97"/>
    <n v="29.849999999999998"/>
    <x v="0"/>
    <x v="0"/>
    <x v="1"/>
  </r>
  <r>
    <s v="VTB-46451-959"/>
    <x v="414"/>
    <x v="483"/>
    <s v="L-D-2.5"/>
    <n v="1"/>
    <x v="483"/>
    <s v="bbeelbyej@rediff.com"/>
    <x v="1"/>
    <x v="3"/>
    <s v="D"/>
    <x v="2"/>
    <n v="29.784999999999997"/>
    <n v="29.784999999999997"/>
    <x v="3"/>
    <x v="2"/>
    <x v="1"/>
  </r>
  <r>
    <s v="DNZ-11665-950"/>
    <x v="415"/>
    <x v="484"/>
    <s v="L-L-2.5"/>
    <n v="2"/>
    <x v="484"/>
    <s v=""/>
    <x v="0"/>
    <x v="3"/>
    <s v="L"/>
    <x v="2"/>
    <n v="36.454999999999998"/>
    <n v="72.91"/>
    <x v="3"/>
    <x v="1"/>
    <x v="1"/>
  </r>
  <r>
    <s v="ITR-54735-364"/>
    <x v="416"/>
    <x v="485"/>
    <s v="R-D-0.2"/>
    <n v="5"/>
    <x v="485"/>
    <s v=""/>
    <x v="0"/>
    <x v="0"/>
    <s v="D"/>
    <x v="3"/>
    <n v="2.6849999999999996"/>
    <n v="13.424999999999997"/>
    <x v="0"/>
    <x v="2"/>
    <x v="0"/>
  </r>
  <r>
    <s v="YDS-02797-307"/>
    <x v="417"/>
    <x v="486"/>
    <s v="E-M-2.5"/>
    <n v="4"/>
    <x v="486"/>
    <s v="wspeechlyem@amazon.com"/>
    <x v="0"/>
    <x v="1"/>
    <s v="M"/>
    <x v="2"/>
    <n v="31.624999999999996"/>
    <n v="126.49999999999999"/>
    <x v="1"/>
    <x v="0"/>
    <x v="0"/>
  </r>
  <r>
    <s v="BPG-68988-842"/>
    <x v="418"/>
    <x v="487"/>
    <s v="E-M-0.5"/>
    <n v="5"/>
    <x v="487"/>
    <s v="iphillpoten@buzzfeed.com"/>
    <x v="2"/>
    <x v="1"/>
    <s v="M"/>
    <x v="1"/>
    <n v="8.25"/>
    <n v="41.25"/>
    <x v="1"/>
    <x v="0"/>
    <x v="1"/>
  </r>
  <r>
    <s v="XZG-51938-658"/>
    <x v="419"/>
    <x v="488"/>
    <s v="E-L-0.5"/>
    <n v="6"/>
    <x v="488"/>
    <s v="lpennaccieo@statcounter.com"/>
    <x v="0"/>
    <x v="1"/>
    <s v="L"/>
    <x v="1"/>
    <n v="8.91"/>
    <n v="53.46"/>
    <x v="1"/>
    <x v="1"/>
    <x v="1"/>
  </r>
  <r>
    <s v="KAR-24978-271"/>
    <x v="420"/>
    <x v="489"/>
    <s v="R-M-1"/>
    <n v="6"/>
    <x v="489"/>
    <s v="sarpinep@moonfruit.com"/>
    <x v="0"/>
    <x v="0"/>
    <s v="M"/>
    <x v="0"/>
    <n v="9.9499999999999993"/>
    <n v="59.699999999999996"/>
    <x v="0"/>
    <x v="0"/>
    <x v="1"/>
  </r>
  <r>
    <s v="FQK-28730-361"/>
    <x v="421"/>
    <x v="490"/>
    <s v="R-M-1"/>
    <n v="6"/>
    <x v="490"/>
    <s v="dfrieseq@cargocollective.com"/>
    <x v="0"/>
    <x v="0"/>
    <s v="M"/>
    <x v="0"/>
    <n v="9.9499999999999993"/>
    <n v="59.699999999999996"/>
    <x v="0"/>
    <x v="0"/>
    <x v="1"/>
  </r>
  <r>
    <s v="BGB-67996-089"/>
    <x v="422"/>
    <x v="491"/>
    <s v="R-D-1"/>
    <n v="5"/>
    <x v="491"/>
    <s v="rsharerer@flavors.me"/>
    <x v="0"/>
    <x v="0"/>
    <s v="D"/>
    <x v="0"/>
    <n v="8.9499999999999993"/>
    <n v="44.75"/>
    <x v="0"/>
    <x v="2"/>
    <x v="1"/>
  </r>
  <r>
    <s v="XMC-20620-809"/>
    <x v="423"/>
    <x v="492"/>
    <s v="E-M-0.5"/>
    <n v="2"/>
    <x v="492"/>
    <s v="nnasebyes@umich.edu"/>
    <x v="0"/>
    <x v="1"/>
    <s v="M"/>
    <x v="1"/>
    <n v="8.25"/>
    <n v="16.5"/>
    <x v="1"/>
    <x v="0"/>
    <x v="0"/>
  </r>
  <r>
    <s v="ZSO-58292-191"/>
    <x v="109"/>
    <x v="493"/>
    <s v="R-D-0.5"/>
    <n v="4"/>
    <x v="493"/>
    <s v=""/>
    <x v="0"/>
    <x v="0"/>
    <s v="D"/>
    <x v="1"/>
    <n v="5.3699999999999992"/>
    <n v="21.479999999999997"/>
    <x v="0"/>
    <x v="2"/>
    <x v="1"/>
  </r>
  <r>
    <s v="LWJ-06793-303"/>
    <x v="204"/>
    <x v="494"/>
    <s v="R-M-2.5"/>
    <n v="2"/>
    <x v="494"/>
    <s v="koculleneu@ca.gov"/>
    <x v="1"/>
    <x v="0"/>
    <s v="M"/>
    <x v="2"/>
    <n v="22.884999999999998"/>
    <n v="45.769999999999996"/>
    <x v="0"/>
    <x v="0"/>
    <x v="0"/>
  </r>
  <r>
    <s v="FLM-82229-989"/>
    <x v="424"/>
    <x v="495"/>
    <s v="L-L-0.2"/>
    <n v="2"/>
    <x v="495"/>
    <s v=""/>
    <x v="1"/>
    <x v="3"/>
    <s v="L"/>
    <x v="3"/>
    <n v="4.7549999999999999"/>
    <n v="9.51"/>
    <x v="3"/>
    <x v="1"/>
    <x v="1"/>
  </r>
  <r>
    <s v="CPV-90280-133"/>
    <x v="13"/>
    <x v="464"/>
    <s v="R-D-0.2"/>
    <n v="3"/>
    <x v="464"/>
    <s v="murione5@alexa.com"/>
    <x v="1"/>
    <x v="0"/>
    <s v="D"/>
    <x v="3"/>
    <n v="2.6849999999999996"/>
    <n v="8.0549999999999997"/>
    <x v="0"/>
    <x v="2"/>
    <x v="0"/>
  </r>
  <r>
    <s v="OGW-60685-912"/>
    <x v="224"/>
    <x v="496"/>
    <s v="E-D-2.5"/>
    <n v="4"/>
    <x v="496"/>
    <s v="hbranganex@woothemes.com"/>
    <x v="0"/>
    <x v="1"/>
    <s v="D"/>
    <x v="2"/>
    <n v="27.945"/>
    <n v="111.78"/>
    <x v="1"/>
    <x v="2"/>
    <x v="0"/>
  </r>
  <r>
    <s v="DEC-11160-362"/>
    <x v="220"/>
    <x v="497"/>
    <s v="R-D-0.2"/>
    <n v="4"/>
    <x v="497"/>
    <s v="agallyoney@engadget.com"/>
    <x v="0"/>
    <x v="0"/>
    <s v="D"/>
    <x v="3"/>
    <n v="2.6849999999999996"/>
    <n v="10.739999999999998"/>
    <x v="0"/>
    <x v="2"/>
    <x v="0"/>
  </r>
  <r>
    <s v="WCT-07869-499"/>
    <x v="91"/>
    <x v="498"/>
    <s v="R-D-0.5"/>
    <n v="5"/>
    <x v="498"/>
    <s v="bdomangeez@yahoo.co.jp"/>
    <x v="0"/>
    <x v="0"/>
    <s v="D"/>
    <x v="1"/>
    <n v="5.3699999999999992"/>
    <n v="26.849999999999994"/>
    <x v="0"/>
    <x v="2"/>
    <x v="1"/>
  </r>
  <r>
    <s v="FHD-89872-325"/>
    <x v="425"/>
    <x v="499"/>
    <s v="L-L-1"/>
    <n v="4"/>
    <x v="499"/>
    <s v="koslerf0@gmpg.org"/>
    <x v="0"/>
    <x v="3"/>
    <s v="L"/>
    <x v="0"/>
    <n v="15.85"/>
    <n v="63.4"/>
    <x v="3"/>
    <x v="1"/>
    <x v="0"/>
  </r>
  <r>
    <s v="AZF-45991-584"/>
    <x v="426"/>
    <x v="500"/>
    <s v="A-D-2.5"/>
    <n v="1"/>
    <x v="500"/>
    <s v=""/>
    <x v="1"/>
    <x v="2"/>
    <s v="D"/>
    <x v="2"/>
    <n v="22.884999999999998"/>
    <n v="22.884999999999998"/>
    <x v="2"/>
    <x v="2"/>
    <x v="0"/>
  </r>
  <r>
    <s v="MDG-14481-513"/>
    <x v="427"/>
    <x v="501"/>
    <s v="A-M-2.5"/>
    <n v="4"/>
    <x v="501"/>
    <s v="zpellettf2@dailymotion.com"/>
    <x v="0"/>
    <x v="2"/>
    <s v="M"/>
    <x v="2"/>
    <n v="25.874999999999996"/>
    <n v="103.49999999999999"/>
    <x v="2"/>
    <x v="0"/>
    <x v="1"/>
  </r>
  <r>
    <s v="OFN-49424-848"/>
    <x v="428"/>
    <x v="502"/>
    <s v="R-L-2.5"/>
    <n v="2"/>
    <x v="502"/>
    <s v="isprakesf3@spiegel.de"/>
    <x v="0"/>
    <x v="0"/>
    <s v="L"/>
    <x v="2"/>
    <n v="27.484999999999996"/>
    <n v="54.969999999999992"/>
    <x v="0"/>
    <x v="1"/>
    <x v="1"/>
  </r>
  <r>
    <s v="NFA-03411-746"/>
    <x v="383"/>
    <x v="503"/>
    <s v="A-L-0.5"/>
    <n v="2"/>
    <x v="503"/>
    <s v="hfromantf4@ucsd.edu"/>
    <x v="0"/>
    <x v="2"/>
    <s v="L"/>
    <x v="1"/>
    <n v="7.77"/>
    <n v="15.54"/>
    <x v="2"/>
    <x v="1"/>
    <x v="1"/>
  </r>
  <r>
    <s v="CYM-74988-450"/>
    <x v="156"/>
    <x v="504"/>
    <s v="L-D-0.2"/>
    <n v="4"/>
    <x v="504"/>
    <s v="rflearf5@artisteer.com"/>
    <x v="2"/>
    <x v="3"/>
    <s v="D"/>
    <x v="3"/>
    <n v="3.8849999999999998"/>
    <n v="15.54"/>
    <x v="3"/>
    <x v="2"/>
    <x v="1"/>
  </r>
  <r>
    <s v="WTV-24996-658"/>
    <x v="429"/>
    <x v="505"/>
    <s v="E-D-2.5"/>
    <n v="3"/>
    <x v="505"/>
    <s v=""/>
    <x v="1"/>
    <x v="1"/>
    <s v="D"/>
    <x v="2"/>
    <n v="27.945"/>
    <n v="83.835000000000008"/>
    <x v="1"/>
    <x v="2"/>
    <x v="1"/>
  </r>
  <r>
    <s v="DSL-69915-544"/>
    <x v="103"/>
    <x v="506"/>
    <s v="R-L-0.2"/>
    <n v="3"/>
    <x v="506"/>
    <s v="wlightollersf9@baidu.com"/>
    <x v="0"/>
    <x v="0"/>
    <s v="L"/>
    <x v="3"/>
    <n v="3.5849999999999995"/>
    <n v="10.754999999999999"/>
    <x v="0"/>
    <x v="1"/>
    <x v="0"/>
  </r>
  <r>
    <s v="NBT-35757-542"/>
    <x v="361"/>
    <x v="507"/>
    <s v="E-L-0.2"/>
    <n v="3"/>
    <x v="507"/>
    <s v="bmundenf8@elpais.com"/>
    <x v="0"/>
    <x v="1"/>
    <s v="L"/>
    <x v="3"/>
    <n v="4.4550000000000001"/>
    <n v="13.365"/>
    <x v="1"/>
    <x v="1"/>
    <x v="0"/>
  </r>
  <r>
    <s v="OYU-25085-528"/>
    <x v="120"/>
    <x v="506"/>
    <s v="E-L-0.2"/>
    <n v="4"/>
    <x v="506"/>
    <s v="wlightollersf9@baidu.com"/>
    <x v="0"/>
    <x v="1"/>
    <s v="L"/>
    <x v="3"/>
    <n v="4.4550000000000001"/>
    <n v="17.82"/>
    <x v="1"/>
    <x v="1"/>
    <x v="0"/>
  </r>
  <r>
    <s v="XCG-07109-195"/>
    <x v="430"/>
    <x v="508"/>
    <s v="L-D-0.2"/>
    <n v="6"/>
    <x v="508"/>
    <s v="nbrakespearfa@rediff.com"/>
    <x v="0"/>
    <x v="3"/>
    <s v="D"/>
    <x v="3"/>
    <n v="3.8849999999999998"/>
    <n v="23.31"/>
    <x v="3"/>
    <x v="2"/>
    <x v="0"/>
  </r>
  <r>
    <s v="YZA-25234-630"/>
    <x v="125"/>
    <x v="509"/>
    <s v="E-D-0.2"/>
    <n v="2"/>
    <x v="509"/>
    <s v="mglawsopfb@reverbnation.com"/>
    <x v="0"/>
    <x v="1"/>
    <s v="D"/>
    <x v="3"/>
    <n v="3.645"/>
    <n v="7.29"/>
    <x v="1"/>
    <x v="2"/>
    <x v="1"/>
  </r>
  <r>
    <s v="OKU-29966-417"/>
    <x v="431"/>
    <x v="510"/>
    <s v="E-L-0.2"/>
    <n v="4"/>
    <x v="510"/>
    <s v="galbertsfc@etsy.com"/>
    <x v="2"/>
    <x v="1"/>
    <s v="L"/>
    <x v="3"/>
    <n v="4.4550000000000001"/>
    <n v="17.82"/>
    <x v="1"/>
    <x v="1"/>
    <x v="0"/>
  </r>
  <r>
    <s v="MEX-29350-659"/>
    <x v="40"/>
    <x v="511"/>
    <s v="E-M-1"/>
    <n v="5"/>
    <x v="511"/>
    <s v="vpolglasefd@about.me"/>
    <x v="0"/>
    <x v="1"/>
    <s v="M"/>
    <x v="0"/>
    <n v="13.75"/>
    <n v="68.75"/>
    <x v="1"/>
    <x v="0"/>
    <x v="1"/>
  </r>
  <r>
    <s v="NOY-99738-977"/>
    <x v="432"/>
    <x v="512"/>
    <s v="R-L-2.5"/>
    <n v="2"/>
    <x v="512"/>
    <s v=""/>
    <x v="2"/>
    <x v="0"/>
    <s v="L"/>
    <x v="2"/>
    <n v="27.484999999999996"/>
    <n v="54.969999999999992"/>
    <x v="0"/>
    <x v="1"/>
    <x v="0"/>
  </r>
  <r>
    <s v="TCR-01064-030"/>
    <x v="254"/>
    <x v="513"/>
    <s v="E-M-1"/>
    <n v="6"/>
    <x v="513"/>
    <s v="sbuschff@so-net.ne.jp"/>
    <x v="1"/>
    <x v="1"/>
    <s v="M"/>
    <x v="0"/>
    <n v="13.75"/>
    <n v="82.5"/>
    <x v="1"/>
    <x v="0"/>
    <x v="1"/>
  </r>
  <r>
    <s v="YUL-42750-776"/>
    <x v="219"/>
    <x v="514"/>
    <s v="L-M-0.2"/>
    <n v="2"/>
    <x v="514"/>
    <s v="craisbeckfg@webnode.com"/>
    <x v="0"/>
    <x v="3"/>
    <s v="M"/>
    <x v="3"/>
    <n v="4.3650000000000002"/>
    <n v="8.73"/>
    <x v="3"/>
    <x v="0"/>
    <x v="0"/>
  </r>
  <r>
    <s v="XQJ-86887-506"/>
    <x v="433"/>
    <x v="464"/>
    <s v="E-L-1"/>
    <n v="4"/>
    <x v="464"/>
    <s v="murione5@alexa.com"/>
    <x v="1"/>
    <x v="1"/>
    <s v="L"/>
    <x v="0"/>
    <n v="14.85"/>
    <n v="59.4"/>
    <x v="1"/>
    <x v="1"/>
    <x v="0"/>
  </r>
  <r>
    <s v="CUN-90044-279"/>
    <x v="434"/>
    <x v="515"/>
    <s v="L-D-0.2"/>
    <n v="4"/>
    <x v="515"/>
    <s v=""/>
    <x v="0"/>
    <x v="3"/>
    <s v="D"/>
    <x v="3"/>
    <n v="3.8849999999999998"/>
    <n v="15.54"/>
    <x v="3"/>
    <x v="2"/>
    <x v="0"/>
  </r>
  <r>
    <s v="ICC-73030-502"/>
    <x v="435"/>
    <x v="516"/>
    <s v="A-L-1"/>
    <n v="3"/>
    <x v="516"/>
    <s v="raynoldfj@ustream.tv"/>
    <x v="0"/>
    <x v="2"/>
    <s v="L"/>
    <x v="0"/>
    <n v="12.95"/>
    <n v="38.849999999999994"/>
    <x v="2"/>
    <x v="1"/>
    <x v="0"/>
  </r>
  <r>
    <s v="ADP-04506-084"/>
    <x v="436"/>
    <x v="517"/>
    <s v="E-M-2.5"/>
    <n v="6"/>
    <x v="517"/>
    <s v=""/>
    <x v="0"/>
    <x v="1"/>
    <s v="M"/>
    <x v="2"/>
    <n v="31.624999999999996"/>
    <n v="189.74999999999997"/>
    <x v="1"/>
    <x v="0"/>
    <x v="0"/>
  </r>
  <r>
    <s v="PNU-22150-408"/>
    <x v="437"/>
    <x v="518"/>
    <s v="A-D-0.2"/>
    <n v="6"/>
    <x v="518"/>
    <s v=""/>
    <x v="1"/>
    <x v="2"/>
    <s v="D"/>
    <x v="3"/>
    <n v="2.9849999999999999"/>
    <n v="17.91"/>
    <x v="2"/>
    <x v="2"/>
    <x v="0"/>
  </r>
  <r>
    <s v="VSQ-07182-513"/>
    <x v="438"/>
    <x v="519"/>
    <s v="L-L-0.2"/>
    <n v="6"/>
    <x v="519"/>
    <s v="bgrecefm@naver.com"/>
    <x v="2"/>
    <x v="3"/>
    <s v="L"/>
    <x v="3"/>
    <n v="4.7549999999999999"/>
    <n v="28.53"/>
    <x v="3"/>
    <x v="1"/>
    <x v="1"/>
  </r>
  <r>
    <s v="SPF-31673-217"/>
    <x v="439"/>
    <x v="520"/>
    <s v="E-M-1"/>
    <n v="6"/>
    <x v="520"/>
    <s v="dflintiffg1@e-recht24.de"/>
    <x v="2"/>
    <x v="1"/>
    <s v="M"/>
    <x v="0"/>
    <n v="13.75"/>
    <n v="82.5"/>
    <x v="1"/>
    <x v="0"/>
    <x v="1"/>
  </r>
  <r>
    <s v="NEX-63825-598"/>
    <x v="175"/>
    <x v="521"/>
    <s v="R-L-0.5"/>
    <n v="2"/>
    <x v="521"/>
    <s v="athysfo@cdc.gov"/>
    <x v="0"/>
    <x v="0"/>
    <s v="L"/>
    <x v="1"/>
    <n v="7.169999999999999"/>
    <n v="14.339999999999998"/>
    <x v="0"/>
    <x v="1"/>
    <x v="1"/>
  </r>
  <r>
    <s v="XPG-66112-335"/>
    <x v="440"/>
    <x v="522"/>
    <s v="R-D-2.5"/>
    <n v="4"/>
    <x v="522"/>
    <s v="jchuggfp@about.me"/>
    <x v="0"/>
    <x v="0"/>
    <s v="D"/>
    <x v="2"/>
    <n v="20.584999999999997"/>
    <n v="82.339999999999989"/>
    <x v="0"/>
    <x v="2"/>
    <x v="1"/>
  </r>
  <r>
    <s v="NSQ-72210-345"/>
    <x v="441"/>
    <x v="523"/>
    <s v="A-M-0.2"/>
    <n v="6"/>
    <x v="523"/>
    <s v="akelstonfq@sakura.ne.jp"/>
    <x v="0"/>
    <x v="2"/>
    <s v="M"/>
    <x v="3"/>
    <n v="3.375"/>
    <n v="20.25"/>
    <x v="2"/>
    <x v="0"/>
    <x v="0"/>
  </r>
  <r>
    <s v="XRR-28376-277"/>
    <x v="442"/>
    <x v="524"/>
    <s v="R-L-2.5"/>
    <n v="6"/>
    <x v="524"/>
    <s v=""/>
    <x v="1"/>
    <x v="0"/>
    <s v="L"/>
    <x v="2"/>
    <n v="27.484999999999996"/>
    <n v="164.90999999999997"/>
    <x v="0"/>
    <x v="1"/>
    <x v="1"/>
  </r>
  <r>
    <s v="WHQ-25197-475"/>
    <x v="443"/>
    <x v="525"/>
    <s v="L-L-0.2"/>
    <n v="4"/>
    <x v="525"/>
    <s v="cmottramfs@harvard.edu"/>
    <x v="0"/>
    <x v="3"/>
    <s v="L"/>
    <x v="3"/>
    <n v="4.7549999999999999"/>
    <n v="19.02"/>
    <x v="3"/>
    <x v="1"/>
    <x v="0"/>
  </r>
  <r>
    <s v="HMB-30634-745"/>
    <x v="216"/>
    <x v="520"/>
    <s v="A-D-2.5"/>
    <n v="6"/>
    <x v="520"/>
    <s v="dflintiffg1@e-recht24.de"/>
    <x v="2"/>
    <x v="2"/>
    <s v="D"/>
    <x v="2"/>
    <n v="22.884999999999998"/>
    <n v="137.31"/>
    <x v="2"/>
    <x v="2"/>
    <x v="1"/>
  </r>
  <r>
    <s v="XTL-68000-371"/>
    <x v="444"/>
    <x v="526"/>
    <s v="A-M-0.5"/>
    <n v="4"/>
    <x v="526"/>
    <s v="dsangwinfu@weebly.com"/>
    <x v="0"/>
    <x v="2"/>
    <s v="M"/>
    <x v="1"/>
    <n v="6.75"/>
    <n v="27"/>
    <x v="2"/>
    <x v="0"/>
    <x v="1"/>
  </r>
  <r>
    <s v="YES-51109-625"/>
    <x v="37"/>
    <x v="527"/>
    <s v="E-L-0.5"/>
    <n v="4"/>
    <x v="527"/>
    <s v="eaizikowitzfv@virginia.edu"/>
    <x v="2"/>
    <x v="1"/>
    <s v="L"/>
    <x v="1"/>
    <n v="8.91"/>
    <n v="35.64"/>
    <x v="1"/>
    <x v="1"/>
    <x v="1"/>
  </r>
  <r>
    <s v="EAY-89850-211"/>
    <x v="445"/>
    <x v="528"/>
    <s v="A-D-0.2"/>
    <n v="2"/>
    <x v="528"/>
    <s v=""/>
    <x v="0"/>
    <x v="2"/>
    <s v="D"/>
    <x v="3"/>
    <n v="2.9849999999999999"/>
    <n v="5.97"/>
    <x v="2"/>
    <x v="2"/>
    <x v="0"/>
  </r>
  <r>
    <s v="IOQ-84840-827"/>
    <x v="446"/>
    <x v="529"/>
    <s v="A-M-1"/>
    <n v="6"/>
    <x v="529"/>
    <s v="cvenourfx@ask.com"/>
    <x v="0"/>
    <x v="2"/>
    <s v="M"/>
    <x v="0"/>
    <n v="11.25"/>
    <n v="67.5"/>
    <x v="2"/>
    <x v="0"/>
    <x v="1"/>
  </r>
  <r>
    <s v="FBD-56220-430"/>
    <x v="245"/>
    <x v="530"/>
    <s v="R-L-0.2"/>
    <n v="6"/>
    <x v="530"/>
    <s v="mharbyfy@163.com"/>
    <x v="0"/>
    <x v="0"/>
    <s v="L"/>
    <x v="3"/>
    <n v="3.5849999999999995"/>
    <n v="21.509999999999998"/>
    <x v="0"/>
    <x v="1"/>
    <x v="0"/>
  </r>
  <r>
    <s v="COV-52659-202"/>
    <x v="447"/>
    <x v="531"/>
    <s v="L-M-2.5"/>
    <n v="2"/>
    <x v="531"/>
    <s v="rthickpennyfz@cafepress.com"/>
    <x v="0"/>
    <x v="3"/>
    <s v="M"/>
    <x v="2"/>
    <n v="33.464999999999996"/>
    <n v="66.929999999999993"/>
    <x v="3"/>
    <x v="0"/>
    <x v="1"/>
  </r>
  <r>
    <s v="YUO-76652-814"/>
    <x v="448"/>
    <x v="532"/>
    <s v="A-D-0.2"/>
    <n v="6"/>
    <x v="532"/>
    <s v="pormerodg0@redcross.org"/>
    <x v="0"/>
    <x v="2"/>
    <s v="D"/>
    <x v="3"/>
    <n v="2.9849999999999999"/>
    <n v="17.91"/>
    <x v="2"/>
    <x v="2"/>
    <x v="1"/>
  </r>
  <r>
    <s v="PBT-36926-102"/>
    <x v="344"/>
    <x v="520"/>
    <s v="L-M-1"/>
    <n v="4"/>
    <x v="520"/>
    <s v="dflintiffg1@e-recht24.de"/>
    <x v="2"/>
    <x v="3"/>
    <s v="M"/>
    <x v="0"/>
    <n v="14.55"/>
    <n v="58.2"/>
    <x v="3"/>
    <x v="0"/>
    <x v="1"/>
  </r>
  <r>
    <s v="BLV-60087-454"/>
    <x v="152"/>
    <x v="533"/>
    <s v="E-L-0.2"/>
    <n v="3"/>
    <x v="533"/>
    <s v="tzanettig2@gravatar.com"/>
    <x v="1"/>
    <x v="1"/>
    <s v="L"/>
    <x v="3"/>
    <n v="4.4550000000000001"/>
    <n v="13.365"/>
    <x v="1"/>
    <x v="1"/>
    <x v="1"/>
  </r>
  <r>
    <s v="BLV-60087-454"/>
    <x v="152"/>
    <x v="533"/>
    <s v="A-M-0.5"/>
    <n v="5"/>
    <x v="533"/>
    <s v="tzanettig2@gravatar.com"/>
    <x v="1"/>
    <x v="2"/>
    <s v="M"/>
    <x v="1"/>
    <n v="6.75"/>
    <n v="33.75"/>
    <x v="2"/>
    <x v="0"/>
    <x v="1"/>
  </r>
  <r>
    <s v="QYC-63914-195"/>
    <x v="449"/>
    <x v="534"/>
    <s v="E-L-1"/>
    <n v="3"/>
    <x v="534"/>
    <s v="rkirtleyg4@hatena.ne.jp"/>
    <x v="0"/>
    <x v="1"/>
    <s v="L"/>
    <x v="0"/>
    <n v="14.85"/>
    <n v="44.55"/>
    <x v="1"/>
    <x v="1"/>
    <x v="0"/>
  </r>
  <r>
    <s v="OIB-77163-890"/>
    <x v="450"/>
    <x v="535"/>
    <s v="E-L-0.5"/>
    <n v="5"/>
    <x v="535"/>
    <s v="cclemencetg5@weather.com"/>
    <x v="2"/>
    <x v="1"/>
    <s v="L"/>
    <x v="1"/>
    <n v="8.91"/>
    <n v="44.55"/>
    <x v="1"/>
    <x v="1"/>
    <x v="0"/>
  </r>
  <r>
    <s v="SGS-87525-238"/>
    <x v="451"/>
    <x v="536"/>
    <s v="E-D-1"/>
    <n v="5"/>
    <x v="536"/>
    <s v="rdonetg6@oakley.com"/>
    <x v="0"/>
    <x v="1"/>
    <s v="D"/>
    <x v="0"/>
    <n v="12.15"/>
    <n v="60.75"/>
    <x v="1"/>
    <x v="2"/>
    <x v="1"/>
  </r>
  <r>
    <s v="GQR-12490-152"/>
    <x v="83"/>
    <x v="537"/>
    <s v="R-L-0.2"/>
    <n v="1"/>
    <x v="537"/>
    <s v="sgaweng7@creativecommons.org"/>
    <x v="0"/>
    <x v="0"/>
    <s v="L"/>
    <x v="3"/>
    <n v="3.5849999999999995"/>
    <n v="3.5849999999999995"/>
    <x v="0"/>
    <x v="1"/>
    <x v="0"/>
  </r>
  <r>
    <s v="UOJ-28238-299"/>
    <x v="452"/>
    <x v="538"/>
    <s v="R-L-0.2"/>
    <n v="6"/>
    <x v="538"/>
    <s v="rreadieg8@guardian.co.uk"/>
    <x v="0"/>
    <x v="0"/>
    <s v="L"/>
    <x v="3"/>
    <n v="3.5849999999999995"/>
    <n v="21.509999999999998"/>
    <x v="0"/>
    <x v="1"/>
    <x v="1"/>
  </r>
  <r>
    <s v="ETD-58130-674"/>
    <x v="453"/>
    <x v="539"/>
    <s v="E-M-0.5"/>
    <n v="2"/>
    <x v="539"/>
    <s v="cverissimogh@theglobeandmail.com"/>
    <x v="2"/>
    <x v="1"/>
    <s v="M"/>
    <x v="1"/>
    <n v="8.25"/>
    <n v="16.5"/>
    <x v="1"/>
    <x v="0"/>
    <x v="0"/>
  </r>
  <r>
    <s v="UPF-60123-025"/>
    <x v="454"/>
    <x v="540"/>
    <s v="R-L-2.5"/>
    <n v="3"/>
    <x v="540"/>
    <s v=""/>
    <x v="0"/>
    <x v="0"/>
    <s v="L"/>
    <x v="2"/>
    <n v="27.484999999999996"/>
    <n v="82.454999999999984"/>
    <x v="0"/>
    <x v="1"/>
    <x v="1"/>
  </r>
  <r>
    <s v="NQS-01613-687"/>
    <x v="455"/>
    <x v="541"/>
    <s v="L-D-0.5"/>
    <n v="1"/>
    <x v="541"/>
    <s v="bogb@elpais.com"/>
    <x v="0"/>
    <x v="3"/>
    <s v="D"/>
    <x v="1"/>
    <n v="7.77"/>
    <n v="7.77"/>
    <x v="3"/>
    <x v="2"/>
    <x v="0"/>
  </r>
  <r>
    <s v="MGH-36050-573"/>
    <x v="456"/>
    <x v="542"/>
    <s v="R-M-0.5"/>
    <n v="2"/>
    <x v="542"/>
    <s v="vstansburygc@unblog.fr"/>
    <x v="0"/>
    <x v="0"/>
    <s v="M"/>
    <x v="1"/>
    <n v="5.97"/>
    <n v="11.94"/>
    <x v="0"/>
    <x v="0"/>
    <x v="0"/>
  </r>
  <r>
    <s v="UVF-59322-459"/>
    <x v="373"/>
    <x v="543"/>
    <s v="E-L-2.5"/>
    <n v="6"/>
    <x v="543"/>
    <s v="dheinonengd@printfriendly.com"/>
    <x v="0"/>
    <x v="1"/>
    <s v="L"/>
    <x v="2"/>
    <n v="34.154999999999994"/>
    <n v="204.92999999999995"/>
    <x v="1"/>
    <x v="1"/>
    <x v="1"/>
  </r>
  <r>
    <s v="VET-41158-896"/>
    <x v="457"/>
    <x v="544"/>
    <s v="E-M-2.5"/>
    <n v="2"/>
    <x v="544"/>
    <s v="jshentonge@google.com.hk"/>
    <x v="0"/>
    <x v="1"/>
    <s v="M"/>
    <x v="2"/>
    <n v="31.624999999999996"/>
    <n v="63.249999999999993"/>
    <x v="1"/>
    <x v="0"/>
    <x v="0"/>
  </r>
  <r>
    <s v="XYL-52196-459"/>
    <x v="458"/>
    <x v="545"/>
    <s v="R-D-0.2"/>
    <n v="3"/>
    <x v="545"/>
    <s v="jwilkissongf@nba.com"/>
    <x v="0"/>
    <x v="0"/>
    <s v="D"/>
    <x v="3"/>
    <n v="2.6849999999999996"/>
    <n v="8.0549999999999997"/>
    <x v="0"/>
    <x v="2"/>
    <x v="0"/>
  </r>
  <r>
    <s v="BPZ-51283-916"/>
    <x v="264"/>
    <x v="546"/>
    <s v="A-M-2.5"/>
    <n v="2"/>
    <x v="546"/>
    <s v=""/>
    <x v="0"/>
    <x v="2"/>
    <s v="M"/>
    <x v="2"/>
    <n v="25.874999999999996"/>
    <n v="51.749999999999993"/>
    <x v="2"/>
    <x v="0"/>
    <x v="1"/>
  </r>
  <r>
    <s v="VQW-91903-926"/>
    <x v="459"/>
    <x v="539"/>
    <s v="E-D-2.5"/>
    <n v="1"/>
    <x v="539"/>
    <s v="cverissimogh@theglobeandmail.com"/>
    <x v="2"/>
    <x v="1"/>
    <s v="D"/>
    <x v="2"/>
    <n v="27.945"/>
    <n v="27.945"/>
    <x v="1"/>
    <x v="2"/>
    <x v="0"/>
  </r>
  <r>
    <s v="OLF-77983-457"/>
    <x v="460"/>
    <x v="547"/>
    <s v="A-L-2.5"/>
    <n v="2"/>
    <x v="547"/>
    <s v="gstarcksgi@abc.net.au"/>
    <x v="0"/>
    <x v="2"/>
    <s v="L"/>
    <x v="2"/>
    <n v="29.784999999999997"/>
    <n v="59.569999999999993"/>
    <x v="2"/>
    <x v="1"/>
    <x v="1"/>
  </r>
  <r>
    <s v="MVI-04946-827"/>
    <x v="461"/>
    <x v="548"/>
    <s v="E-L-1"/>
    <n v="1"/>
    <x v="548"/>
    <s v=""/>
    <x v="2"/>
    <x v="1"/>
    <s v="L"/>
    <x v="0"/>
    <n v="14.85"/>
    <n v="14.85"/>
    <x v="1"/>
    <x v="1"/>
    <x v="1"/>
  </r>
  <r>
    <s v="UOG-94188-104"/>
    <x v="219"/>
    <x v="549"/>
    <s v="A-M-0.5"/>
    <n v="5"/>
    <x v="549"/>
    <s v="kscholardgk@sbwire.com"/>
    <x v="0"/>
    <x v="2"/>
    <s v="M"/>
    <x v="1"/>
    <n v="6.75"/>
    <n v="33.75"/>
    <x v="2"/>
    <x v="0"/>
    <x v="1"/>
  </r>
  <r>
    <s v="DSN-15872-519"/>
    <x v="462"/>
    <x v="550"/>
    <s v="L-L-2.5"/>
    <n v="4"/>
    <x v="550"/>
    <s v="bkindleygl@wikimedia.org"/>
    <x v="0"/>
    <x v="3"/>
    <s v="L"/>
    <x v="2"/>
    <n v="36.454999999999998"/>
    <n v="145.82"/>
    <x v="3"/>
    <x v="1"/>
    <x v="0"/>
  </r>
  <r>
    <s v="OUQ-73954-002"/>
    <x v="463"/>
    <x v="551"/>
    <s v="R-M-0.2"/>
    <n v="4"/>
    <x v="551"/>
    <s v="khammettgm@dmoz.org"/>
    <x v="0"/>
    <x v="0"/>
    <s v="M"/>
    <x v="3"/>
    <n v="2.9849999999999999"/>
    <n v="11.94"/>
    <x v="0"/>
    <x v="0"/>
    <x v="0"/>
  </r>
  <r>
    <s v="LGL-16843-667"/>
    <x v="464"/>
    <x v="552"/>
    <s v="A-D-0.2"/>
    <n v="4"/>
    <x v="552"/>
    <s v="ahulburtgn@fda.gov"/>
    <x v="0"/>
    <x v="2"/>
    <s v="D"/>
    <x v="3"/>
    <n v="2.9849999999999999"/>
    <n v="11.94"/>
    <x v="2"/>
    <x v="2"/>
    <x v="0"/>
  </r>
  <r>
    <s v="TCC-89722-031"/>
    <x v="465"/>
    <x v="553"/>
    <s v="L-D-0.5"/>
    <n v="1"/>
    <x v="553"/>
    <s v="plauritzengo@photobucket.com"/>
    <x v="0"/>
    <x v="3"/>
    <s v="D"/>
    <x v="1"/>
    <n v="7.77"/>
    <n v="7.77"/>
    <x v="3"/>
    <x v="2"/>
    <x v="1"/>
  </r>
  <r>
    <s v="TRA-79507-007"/>
    <x v="466"/>
    <x v="554"/>
    <s v="R-L-2.5"/>
    <n v="4"/>
    <x v="554"/>
    <s v="aburgwingp@redcross.org"/>
    <x v="0"/>
    <x v="0"/>
    <s v="L"/>
    <x v="2"/>
    <n v="27.484999999999996"/>
    <n v="109.93999999999998"/>
    <x v="0"/>
    <x v="1"/>
    <x v="0"/>
  </r>
  <r>
    <s v="MZJ-77284-941"/>
    <x v="467"/>
    <x v="555"/>
    <s v="E-L-0.2"/>
    <n v="5"/>
    <x v="555"/>
    <s v="erolingq@google.fr"/>
    <x v="0"/>
    <x v="1"/>
    <s v="L"/>
    <x v="3"/>
    <n v="4.4550000000000001"/>
    <n v="22.274999999999999"/>
    <x v="1"/>
    <x v="1"/>
    <x v="0"/>
  </r>
  <r>
    <s v="AXN-57779-891"/>
    <x v="468"/>
    <x v="556"/>
    <s v="R-M-0.2"/>
    <n v="3"/>
    <x v="556"/>
    <s v="dfowlegr@epa.gov"/>
    <x v="0"/>
    <x v="0"/>
    <s v="M"/>
    <x v="3"/>
    <n v="2.9849999999999999"/>
    <n v="8.9550000000000001"/>
    <x v="0"/>
    <x v="0"/>
    <x v="1"/>
  </r>
  <r>
    <s v="PJB-15659-994"/>
    <x v="469"/>
    <x v="557"/>
    <s v="L-D-2.5"/>
    <n v="4"/>
    <x v="557"/>
    <s v=""/>
    <x v="1"/>
    <x v="3"/>
    <s v="D"/>
    <x v="2"/>
    <n v="29.784999999999997"/>
    <n v="119.13999999999999"/>
    <x v="3"/>
    <x v="2"/>
    <x v="1"/>
  </r>
  <r>
    <s v="LTS-03470-353"/>
    <x v="470"/>
    <x v="558"/>
    <s v="A-L-2.5"/>
    <n v="5"/>
    <x v="558"/>
    <s v="wpowleslandgt@soundcloud.com"/>
    <x v="0"/>
    <x v="2"/>
    <s v="L"/>
    <x v="2"/>
    <n v="29.784999999999997"/>
    <n v="148.92499999999998"/>
    <x v="2"/>
    <x v="1"/>
    <x v="0"/>
  </r>
  <r>
    <s v="UMM-28497-689"/>
    <x v="471"/>
    <x v="539"/>
    <s v="L-L-2.5"/>
    <n v="3"/>
    <x v="539"/>
    <s v="cverissimogh@theglobeandmail.com"/>
    <x v="2"/>
    <x v="3"/>
    <s v="L"/>
    <x v="2"/>
    <n v="36.454999999999998"/>
    <n v="109.36499999999999"/>
    <x v="3"/>
    <x v="1"/>
    <x v="0"/>
  </r>
  <r>
    <s v="MJZ-93232-402"/>
    <x v="472"/>
    <x v="559"/>
    <s v="E-D-0.2"/>
    <n v="1"/>
    <x v="559"/>
    <s v="lellinghamgv@sciencedaily.com"/>
    <x v="0"/>
    <x v="1"/>
    <s v="D"/>
    <x v="3"/>
    <n v="3.645"/>
    <n v="3.645"/>
    <x v="1"/>
    <x v="2"/>
    <x v="0"/>
  </r>
  <r>
    <s v="UHW-74617-126"/>
    <x v="173"/>
    <x v="560"/>
    <s v="E-D-2.5"/>
    <n v="2"/>
    <x v="560"/>
    <s v=""/>
    <x v="0"/>
    <x v="1"/>
    <s v="D"/>
    <x v="2"/>
    <n v="27.945"/>
    <n v="55.89"/>
    <x v="1"/>
    <x v="2"/>
    <x v="1"/>
  </r>
  <r>
    <s v="RIK-61730-794"/>
    <x v="473"/>
    <x v="561"/>
    <s v="L-M-0.2"/>
    <n v="6"/>
    <x v="561"/>
    <s v="afendtgx@forbes.com"/>
    <x v="0"/>
    <x v="3"/>
    <s v="M"/>
    <x v="3"/>
    <n v="4.3650000000000002"/>
    <n v="26.19"/>
    <x v="3"/>
    <x v="0"/>
    <x v="0"/>
  </r>
  <r>
    <s v="IDJ-55379-750"/>
    <x v="474"/>
    <x v="562"/>
    <s v="R-M-1"/>
    <n v="4"/>
    <x v="562"/>
    <s v="acleyburngy@lycos.com"/>
    <x v="0"/>
    <x v="0"/>
    <s v="M"/>
    <x v="0"/>
    <n v="9.9499999999999993"/>
    <n v="39.799999999999997"/>
    <x v="0"/>
    <x v="0"/>
    <x v="1"/>
  </r>
  <r>
    <s v="OHX-11953-965"/>
    <x v="475"/>
    <x v="563"/>
    <s v="E-L-2.5"/>
    <n v="2"/>
    <x v="563"/>
    <s v="tcastiglionegz@xing.com"/>
    <x v="0"/>
    <x v="1"/>
    <s v="L"/>
    <x v="2"/>
    <n v="34.154999999999994"/>
    <n v="68.309999999999988"/>
    <x v="1"/>
    <x v="1"/>
    <x v="1"/>
  </r>
  <r>
    <s v="TVV-42245-088"/>
    <x v="476"/>
    <x v="564"/>
    <s v="A-M-0.2"/>
    <n v="4"/>
    <x v="564"/>
    <s v=""/>
    <x v="1"/>
    <x v="2"/>
    <s v="M"/>
    <x v="3"/>
    <n v="3.375"/>
    <n v="13.5"/>
    <x v="2"/>
    <x v="0"/>
    <x v="1"/>
  </r>
  <r>
    <s v="DYP-74337-787"/>
    <x v="431"/>
    <x v="565"/>
    <s v="R-M-0.5"/>
    <n v="1"/>
    <x v="565"/>
    <s v=""/>
    <x v="0"/>
    <x v="0"/>
    <s v="M"/>
    <x v="1"/>
    <n v="5.97"/>
    <n v="5.97"/>
    <x v="0"/>
    <x v="0"/>
    <x v="1"/>
  </r>
  <r>
    <s v="OKA-93124-100"/>
    <x v="477"/>
    <x v="539"/>
    <s v="R-M-0.5"/>
    <n v="5"/>
    <x v="539"/>
    <s v="cverissimogh@theglobeandmail.com"/>
    <x v="2"/>
    <x v="0"/>
    <s v="M"/>
    <x v="1"/>
    <n v="5.97"/>
    <n v="29.849999999999998"/>
    <x v="0"/>
    <x v="0"/>
    <x v="0"/>
  </r>
  <r>
    <s v="IXW-20780-268"/>
    <x v="478"/>
    <x v="566"/>
    <s v="L-L-2.5"/>
    <n v="2"/>
    <x v="566"/>
    <s v="scouronneh3@mozilla.org"/>
    <x v="0"/>
    <x v="3"/>
    <s v="L"/>
    <x v="2"/>
    <n v="36.454999999999998"/>
    <n v="72.91"/>
    <x v="3"/>
    <x v="1"/>
    <x v="0"/>
  </r>
  <r>
    <s v="NGG-24006-937"/>
    <x v="45"/>
    <x v="567"/>
    <s v="E-M-2.5"/>
    <n v="4"/>
    <x v="567"/>
    <s v="lflippellih4@github.io"/>
    <x v="2"/>
    <x v="1"/>
    <s v="M"/>
    <x v="2"/>
    <n v="31.624999999999996"/>
    <n v="126.49999999999999"/>
    <x v="1"/>
    <x v="0"/>
    <x v="1"/>
  </r>
  <r>
    <s v="JZC-31180-557"/>
    <x v="444"/>
    <x v="568"/>
    <s v="L-M-2.5"/>
    <n v="1"/>
    <x v="568"/>
    <s v="relizabethh5@live.com"/>
    <x v="0"/>
    <x v="3"/>
    <s v="M"/>
    <x v="2"/>
    <n v="33.464999999999996"/>
    <n v="33.464999999999996"/>
    <x v="3"/>
    <x v="0"/>
    <x v="1"/>
  </r>
  <r>
    <s v="ZMU-63715-204"/>
    <x v="479"/>
    <x v="569"/>
    <s v="E-D-1"/>
    <n v="6"/>
    <x v="569"/>
    <s v="irenhardh6@i2i.jp"/>
    <x v="0"/>
    <x v="1"/>
    <s v="D"/>
    <x v="0"/>
    <n v="12.15"/>
    <n v="72.900000000000006"/>
    <x v="1"/>
    <x v="2"/>
    <x v="0"/>
  </r>
  <r>
    <s v="GND-08192-056"/>
    <x v="480"/>
    <x v="570"/>
    <s v="L-D-0.5"/>
    <n v="2"/>
    <x v="570"/>
    <s v="wrocheh7@xinhuanet.com"/>
    <x v="0"/>
    <x v="3"/>
    <s v="D"/>
    <x v="1"/>
    <n v="7.77"/>
    <n v="15.54"/>
    <x v="3"/>
    <x v="2"/>
    <x v="0"/>
  </r>
  <r>
    <s v="RYY-38961-093"/>
    <x v="481"/>
    <x v="571"/>
    <s v="A-M-0.2"/>
    <n v="6"/>
    <x v="571"/>
    <s v="lalawayhh@weather.com"/>
    <x v="0"/>
    <x v="2"/>
    <s v="M"/>
    <x v="3"/>
    <n v="3.375"/>
    <n v="20.25"/>
    <x v="2"/>
    <x v="0"/>
    <x v="1"/>
  </r>
  <r>
    <s v="CVA-64996-969"/>
    <x v="478"/>
    <x v="572"/>
    <s v="A-L-1"/>
    <n v="6"/>
    <x v="572"/>
    <s v="codgaardh9@nsw.gov.au"/>
    <x v="0"/>
    <x v="2"/>
    <s v="L"/>
    <x v="0"/>
    <n v="12.95"/>
    <n v="77.699999999999989"/>
    <x v="2"/>
    <x v="1"/>
    <x v="1"/>
  </r>
  <r>
    <s v="XTH-67276-442"/>
    <x v="482"/>
    <x v="573"/>
    <s v="L-M-2.5"/>
    <n v="4"/>
    <x v="573"/>
    <s v="bbyrdha@4shared.com"/>
    <x v="0"/>
    <x v="3"/>
    <s v="M"/>
    <x v="2"/>
    <n v="33.464999999999996"/>
    <n v="133.85999999999999"/>
    <x v="3"/>
    <x v="0"/>
    <x v="1"/>
  </r>
  <r>
    <s v="PVU-02950-470"/>
    <x v="353"/>
    <x v="574"/>
    <s v="E-D-1"/>
    <n v="1"/>
    <x v="574"/>
    <s v=""/>
    <x v="2"/>
    <x v="1"/>
    <s v="D"/>
    <x v="0"/>
    <n v="12.15"/>
    <n v="12.15"/>
    <x v="1"/>
    <x v="2"/>
    <x v="1"/>
  </r>
  <r>
    <s v="XSN-26809-910"/>
    <x v="199"/>
    <x v="575"/>
    <s v="E-M-2.5"/>
    <n v="2"/>
    <x v="575"/>
    <s v="dchardinhc@nhs.uk"/>
    <x v="1"/>
    <x v="1"/>
    <s v="M"/>
    <x v="2"/>
    <n v="31.624999999999996"/>
    <n v="63.249999999999993"/>
    <x v="1"/>
    <x v="0"/>
    <x v="0"/>
  </r>
  <r>
    <s v="UDN-88321-005"/>
    <x v="372"/>
    <x v="576"/>
    <s v="R-L-0.5"/>
    <n v="5"/>
    <x v="576"/>
    <s v="hradbonehd@newsvine.com"/>
    <x v="0"/>
    <x v="0"/>
    <s v="L"/>
    <x v="1"/>
    <n v="7.169999999999999"/>
    <n v="35.849999999999994"/>
    <x v="0"/>
    <x v="1"/>
    <x v="1"/>
  </r>
  <r>
    <s v="EXP-21628-670"/>
    <x v="267"/>
    <x v="577"/>
    <s v="A-M-2.5"/>
    <n v="3"/>
    <x v="577"/>
    <s v="wbernthhe@miitbeian.gov.cn"/>
    <x v="0"/>
    <x v="2"/>
    <s v="M"/>
    <x v="2"/>
    <n v="25.874999999999996"/>
    <n v="77.624999999999986"/>
    <x v="2"/>
    <x v="0"/>
    <x v="1"/>
  </r>
  <r>
    <s v="VGM-24161-361"/>
    <x v="480"/>
    <x v="578"/>
    <s v="E-M-2.5"/>
    <n v="2"/>
    <x v="578"/>
    <s v="bacarsonhf@cnn.com"/>
    <x v="0"/>
    <x v="1"/>
    <s v="M"/>
    <x v="2"/>
    <n v="31.624999999999996"/>
    <n v="63.249999999999993"/>
    <x v="1"/>
    <x v="0"/>
    <x v="0"/>
  </r>
  <r>
    <s v="PKN-19556-918"/>
    <x v="483"/>
    <x v="579"/>
    <s v="E-L-0.2"/>
    <n v="6"/>
    <x v="579"/>
    <s v="fbrighamhg@blog.com"/>
    <x v="1"/>
    <x v="1"/>
    <s v="L"/>
    <x v="3"/>
    <n v="4.4550000000000001"/>
    <n v="26.73"/>
    <x v="1"/>
    <x v="1"/>
    <x v="0"/>
  </r>
  <r>
    <s v="PKN-19556-918"/>
    <x v="483"/>
    <x v="579"/>
    <s v="L-D-0.5"/>
    <n v="4"/>
    <x v="579"/>
    <s v="fbrighamhg@blog.com"/>
    <x v="1"/>
    <x v="3"/>
    <s v="D"/>
    <x v="1"/>
    <n v="7.77"/>
    <n v="31.08"/>
    <x v="3"/>
    <x v="2"/>
    <x v="0"/>
  </r>
  <r>
    <s v="PKN-19556-918"/>
    <x v="483"/>
    <x v="579"/>
    <s v="A-D-0.2"/>
    <n v="1"/>
    <x v="579"/>
    <s v="fbrighamhg@blog.com"/>
    <x v="1"/>
    <x v="2"/>
    <s v="D"/>
    <x v="3"/>
    <n v="2.9849999999999999"/>
    <n v="2.9849999999999999"/>
    <x v="2"/>
    <x v="2"/>
    <x v="0"/>
  </r>
  <r>
    <s v="PKN-19556-918"/>
    <x v="483"/>
    <x v="579"/>
    <s v="R-D-2.5"/>
    <n v="5"/>
    <x v="579"/>
    <s v="fbrighamhg@blog.com"/>
    <x v="1"/>
    <x v="0"/>
    <s v="D"/>
    <x v="2"/>
    <n v="20.584999999999997"/>
    <n v="102.92499999999998"/>
    <x v="0"/>
    <x v="2"/>
    <x v="0"/>
  </r>
  <r>
    <s v="DXQ-44537-297"/>
    <x v="484"/>
    <x v="580"/>
    <s v="E-L-0.5"/>
    <n v="4"/>
    <x v="580"/>
    <s v="myoxenhk@google.com"/>
    <x v="0"/>
    <x v="1"/>
    <s v="L"/>
    <x v="1"/>
    <n v="8.91"/>
    <n v="35.64"/>
    <x v="1"/>
    <x v="1"/>
    <x v="1"/>
  </r>
  <r>
    <s v="BPC-54727-307"/>
    <x v="485"/>
    <x v="581"/>
    <s v="R-L-1"/>
    <n v="4"/>
    <x v="581"/>
    <s v="gmcgavinhl@histats.com"/>
    <x v="0"/>
    <x v="0"/>
    <s v="L"/>
    <x v="0"/>
    <n v="11.95"/>
    <n v="47.8"/>
    <x v="0"/>
    <x v="1"/>
    <x v="1"/>
  </r>
  <r>
    <s v="KSH-47717-456"/>
    <x v="486"/>
    <x v="582"/>
    <s v="L-M-1"/>
    <n v="3"/>
    <x v="582"/>
    <s v="luttermarehm@engadget.com"/>
    <x v="0"/>
    <x v="3"/>
    <s v="M"/>
    <x v="0"/>
    <n v="14.55"/>
    <n v="43.650000000000006"/>
    <x v="3"/>
    <x v="0"/>
    <x v="1"/>
  </r>
  <r>
    <s v="ANK-59436-446"/>
    <x v="487"/>
    <x v="583"/>
    <s v="E-L-0.5"/>
    <n v="4"/>
    <x v="583"/>
    <s v="edambrogiohn@techcrunch.com"/>
    <x v="0"/>
    <x v="1"/>
    <s v="L"/>
    <x v="1"/>
    <n v="8.91"/>
    <n v="35.64"/>
    <x v="1"/>
    <x v="1"/>
    <x v="0"/>
  </r>
  <r>
    <s v="AYY-83051-752"/>
    <x v="488"/>
    <x v="584"/>
    <s v="L-L-1"/>
    <n v="6"/>
    <x v="584"/>
    <s v="cwinchcombeho@jiathis.com"/>
    <x v="0"/>
    <x v="3"/>
    <s v="L"/>
    <x v="0"/>
    <n v="15.85"/>
    <n v="95.1"/>
    <x v="3"/>
    <x v="1"/>
    <x v="0"/>
  </r>
  <r>
    <s v="CSW-59644-267"/>
    <x v="489"/>
    <x v="585"/>
    <s v="E-M-2.5"/>
    <n v="1"/>
    <x v="585"/>
    <s v="bpaumierhp@umn.edu"/>
    <x v="1"/>
    <x v="1"/>
    <s v="M"/>
    <x v="2"/>
    <n v="31.624999999999996"/>
    <n v="31.624999999999996"/>
    <x v="1"/>
    <x v="0"/>
    <x v="0"/>
  </r>
  <r>
    <s v="ITY-92466-909"/>
    <x v="162"/>
    <x v="586"/>
    <s v="A-M-2.5"/>
    <n v="3"/>
    <x v="586"/>
    <s v=""/>
    <x v="1"/>
    <x v="2"/>
    <s v="M"/>
    <x v="2"/>
    <n v="25.874999999999996"/>
    <n v="77.624999999999986"/>
    <x v="2"/>
    <x v="0"/>
    <x v="0"/>
  </r>
  <r>
    <s v="IGW-04801-466"/>
    <x v="490"/>
    <x v="587"/>
    <s v="L-D-0.2"/>
    <n v="1"/>
    <x v="587"/>
    <s v="jcapeyhr@bravesites.com"/>
    <x v="0"/>
    <x v="3"/>
    <s v="D"/>
    <x v="3"/>
    <n v="3.8849999999999998"/>
    <n v="3.8849999999999998"/>
    <x v="3"/>
    <x v="2"/>
    <x v="0"/>
  </r>
  <r>
    <s v="LJN-34281-921"/>
    <x v="491"/>
    <x v="588"/>
    <s v="R-L-2.5"/>
    <n v="5"/>
    <x v="588"/>
    <s v="tmathonneti0@google.co.jp"/>
    <x v="0"/>
    <x v="0"/>
    <s v="L"/>
    <x v="2"/>
    <n v="27.484999999999996"/>
    <n v="137.42499999999998"/>
    <x v="0"/>
    <x v="1"/>
    <x v="1"/>
  </r>
  <r>
    <s v="BWZ-46364-547"/>
    <x v="301"/>
    <x v="589"/>
    <s v="R-L-1"/>
    <n v="3"/>
    <x v="589"/>
    <s v="ybasillht@theguardian.com"/>
    <x v="0"/>
    <x v="0"/>
    <s v="L"/>
    <x v="0"/>
    <n v="11.95"/>
    <n v="35.849999999999994"/>
    <x v="0"/>
    <x v="1"/>
    <x v="0"/>
  </r>
  <r>
    <s v="SBC-95710-706"/>
    <x v="194"/>
    <x v="590"/>
    <s v="E-M-0.2"/>
    <n v="2"/>
    <x v="590"/>
    <s v="mbaistowhu@i2i.jp"/>
    <x v="2"/>
    <x v="1"/>
    <s v="M"/>
    <x v="3"/>
    <n v="4.125"/>
    <n v="8.25"/>
    <x v="1"/>
    <x v="0"/>
    <x v="0"/>
  </r>
  <r>
    <s v="WRN-55114-031"/>
    <x v="26"/>
    <x v="591"/>
    <s v="E-L-2.5"/>
    <n v="3"/>
    <x v="591"/>
    <s v="cpallanthv@typepad.com"/>
    <x v="0"/>
    <x v="1"/>
    <s v="L"/>
    <x v="2"/>
    <n v="34.154999999999994"/>
    <n v="102.46499999999997"/>
    <x v="1"/>
    <x v="1"/>
    <x v="0"/>
  </r>
  <r>
    <s v="TZU-64255-831"/>
    <x v="125"/>
    <x v="592"/>
    <s v="R-D-2.5"/>
    <n v="2"/>
    <x v="592"/>
    <s v=""/>
    <x v="0"/>
    <x v="0"/>
    <s v="D"/>
    <x v="2"/>
    <n v="20.584999999999997"/>
    <n v="41.169999999999995"/>
    <x v="0"/>
    <x v="2"/>
    <x v="1"/>
  </r>
  <r>
    <s v="JVF-91003-729"/>
    <x v="492"/>
    <x v="593"/>
    <s v="A-D-2.5"/>
    <n v="3"/>
    <x v="593"/>
    <s v="dohx@redcross.org"/>
    <x v="0"/>
    <x v="2"/>
    <s v="D"/>
    <x v="2"/>
    <n v="22.884999999999998"/>
    <n v="68.655000000000001"/>
    <x v="2"/>
    <x v="2"/>
    <x v="0"/>
  </r>
  <r>
    <s v="MVB-22135-665"/>
    <x v="462"/>
    <x v="594"/>
    <s v="A-D-1"/>
    <n v="1"/>
    <x v="594"/>
    <s v="drallinhy@howstuffworks.com"/>
    <x v="0"/>
    <x v="2"/>
    <s v="D"/>
    <x v="0"/>
    <n v="9.9499999999999993"/>
    <n v="9.9499999999999993"/>
    <x v="2"/>
    <x v="2"/>
    <x v="0"/>
  </r>
  <r>
    <s v="CKS-47815-571"/>
    <x v="493"/>
    <x v="595"/>
    <s v="L-L-0.5"/>
    <n v="3"/>
    <x v="595"/>
    <s v="achillhz@epa.gov"/>
    <x v="2"/>
    <x v="3"/>
    <s v="L"/>
    <x v="1"/>
    <n v="9.51"/>
    <n v="28.53"/>
    <x v="3"/>
    <x v="1"/>
    <x v="0"/>
  </r>
  <r>
    <s v="OAW-17338-101"/>
    <x v="494"/>
    <x v="588"/>
    <s v="R-D-0.2"/>
    <n v="6"/>
    <x v="588"/>
    <s v="tmathonneti0@google.co.jp"/>
    <x v="0"/>
    <x v="0"/>
    <s v="D"/>
    <x v="3"/>
    <n v="2.6849999999999996"/>
    <n v="16.11"/>
    <x v="0"/>
    <x v="2"/>
    <x v="1"/>
  </r>
  <r>
    <s v="ALP-37623-536"/>
    <x v="495"/>
    <x v="596"/>
    <s v="L-L-1"/>
    <n v="6"/>
    <x v="596"/>
    <s v="cdenysi1@is.gd"/>
    <x v="2"/>
    <x v="3"/>
    <s v="L"/>
    <x v="0"/>
    <n v="15.85"/>
    <n v="95.1"/>
    <x v="3"/>
    <x v="1"/>
    <x v="1"/>
  </r>
  <r>
    <s v="WMU-87639-108"/>
    <x v="496"/>
    <x v="597"/>
    <s v="R-D-0.5"/>
    <n v="1"/>
    <x v="597"/>
    <s v="cstebbingsi2@drupal.org"/>
    <x v="0"/>
    <x v="0"/>
    <s v="D"/>
    <x v="1"/>
    <n v="5.3699999999999992"/>
    <n v="5.3699999999999992"/>
    <x v="0"/>
    <x v="2"/>
    <x v="0"/>
  </r>
  <r>
    <s v="USN-44968-231"/>
    <x v="497"/>
    <x v="598"/>
    <s v="R-L-1"/>
    <n v="4"/>
    <x v="598"/>
    <s v=""/>
    <x v="0"/>
    <x v="0"/>
    <s v="L"/>
    <x v="0"/>
    <n v="11.95"/>
    <n v="47.8"/>
    <x v="0"/>
    <x v="1"/>
    <x v="1"/>
  </r>
  <r>
    <s v="YZG-20575-451"/>
    <x v="498"/>
    <x v="599"/>
    <s v="L-L-1"/>
    <n v="4"/>
    <x v="599"/>
    <s v="rzywickii4@ifeng.com"/>
    <x v="1"/>
    <x v="3"/>
    <s v="L"/>
    <x v="0"/>
    <n v="15.85"/>
    <n v="63.4"/>
    <x v="3"/>
    <x v="1"/>
    <x v="1"/>
  </r>
  <r>
    <s v="HTH-52867-812"/>
    <x v="382"/>
    <x v="600"/>
    <s v="A-M-2.5"/>
    <n v="4"/>
    <x v="600"/>
    <s v="aburgetti5@moonfruit.com"/>
    <x v="0"/>
    <x v="2"/>
    <s v="M"/>
    <x v="2"/>
    <n v="25.874999999999996"/>
    <n v="103.49999999999999"/>
    <x v="2"/>
    <x v="0"/>
    <x v="1"/>
  </r>
  <r>
    <s v="FWU-44971-444"/>
    <x v="499"/>
    <x v="601"/>
    <s v="A-D-2.5"/>
    <n v="3"/>
    <x v="601"/>
    <s v="mmalloyi6@seattletimes.com"/>
    <x v="0"/>
    <x v="2"/>
    <s v="D"/>
    <x v="2"/>
    <n v="22.884999999999998"/>
    <n v="68.655000000000001"/>
    <x v="2"/>
    <x v="2"/>
    <x v="1"/>
  </r>
  <r>
    <s v="EQI-82205-066"/>
    <x v="500"/>
    <x v="602"/>
    <s v="R-M-2.5"/>
    <n v="2"/>
    <x v="602"/>
    <s v="mmcparlandi7@w3.org"/>
    <x v="0"/>
    <x v="0"/>
    <s v="M"/>
    <x v="2"/>
    <n v="22.884999999999998"/>
    <n v="45.769999999999996"/>
    <x v="0"/>
    <x v="0"/>
    <x v="0"/>
  </r>
  <r>
    <s v="NAR-00747-074"/>
    <x v="501"/>
    <x v="603"/>
    <s v="L-D-1"/>
    <n v="4"/>
    <x v="603"/>
    <s v="sjennaroyi8@purevolume.com"/>
    <x v="0"/>
    <x v="3"/>
    <s v="D"/>
    <x v="0"/>
    <n v="12.95"/>
    <n v="51.8"/>
    <x v="3"/>
    <x v="2"/>
    <x v="1"/>
  </r>
  <r>
    <s v="JYR-22052-185"/>
    <x v="502"/>
    <x v="604"/>
    <s v="A-M-0.5"/>
    <n v="2"/>
    <x v="604"/>
    <s v="wplacei9@wsj.com"/>
    <x v="0"/>
    <x v="2"/>
    <s v="M"/>
    <x v="1"/>
    <n v="6.75"/>
    <n v="13.5"/>
    <x v="2"/>
    <x v="0"/>
    <x v="0"/>
  </r>
  <r>
    <s v="XKO-54097-932"/>
    <x v="503"/>
    <x v="605"/>
    <s v="E-M-0.5"/>
    <n v="3"/>
    <x v="605"/>
    <s v="jmillettik@addtoany.com"/>
    <x v="0"/>
    <x v="1"/>
    <s v="M"/>
    <x v="1"/>
    <n v="8.25"/>
    <n v="24.75"/>
    <x v="1"/>
    <x v="0"/>
    <x v="0"/>
  </r>
  <r>
    <s v="HXA-72415-025"/>
    <x v="504"/>
    <x v="606"/>
    <s v="A-D-2.5"/>
    <n v="2"/>
    <x v="606"/>
    <s v="dgadsdenib@google.com.hk"/>
    <x v="1"/>
    <x v="2"/>
    <s v="D"/>
    <x v="2"/>
    <n v="22.884999999999998"/>
    <n v="45.769999999999996"/>
    <x v="2"/>
    <x v="2"/>
    <x v="0"/>
  </r>
  <r>
    <s v="MJF-20065-335"/>
    <x v="497"/>
    <x v="607"/>
    <s v="E-L-0.5"/>
    <n v="6"/>
    <x v="607"/>
    <s v="vwakelinic@unesco.org"/>
    <x v="0"/>
    <x v="1"/>
    <s v="L"/>
    <x v="1"/>
    <n v="8.91"/>
    <n v="53.46"/>
    <x v="1"/>
    <x v="1"/>
    <x v="1"/>
  </r>
  <r>
    <s v="GFI-83300-059"/>
    <x v="501"/>
    <x v="608"/>
    <s v="A-M-0.2"/>
    <n v="6"/>
    <x v="608"/>
    <s v="acampsallid@zimbio.com"/>
    <x v="0"/>
    <x v="2"/>
    <s v="M"/>
    <x v="3"/>
    <n v="3.375"/>
    <n v="20.25"/>
    <x v="2"/>
    <x v="0"/>
    <x v="0"/>
  </r>
  <r>
    <s v="WJR-51493-682"/>
    <x v="1"/>
    <x v="609"/>
    <s v="L-D-2.5"/>
    <n v="5"/>
    <x v="609"/>
    <s v="smosebyie@stanford.edu"/>
    <x v="0"/>
    <x v="3"/>
    <s v="D"/>
    <x v="2"/>
    <n v="29.784999999999997"/>
    <n v="148.92499999999998"/>
    <x v="3"/>
    <x v="2"/>
    <x v="1"/>
  </r>
  <r>
    <s v="SHP-55648-472"/>
    <x v="505"/>
    <x v="610"/>
    <s v="A-M-1"/>
    <n v="6"/>
    <x v="610"/>
    <s v="cwassif@prweb.com"/>
    <x v="0"/>
    <x v="2"/>
    <s v="M"/>
    <x v="0"/>
    <n v="11.25"/>
    <n v="67.5"/>
    <x v="2"/>
    <x v="0"/>
    <x v="1"/>
  </r>
  <r>
    <s v="HYR-03455-684"/>
    <x v="506"/>
    <x v="611"/>
    <s v="E-D-1"/>
    <n v="6"/>
    <x v="611"/>
    <s v="isjostromig@pbs.org"/>
    <x v="0"/>
    <x v="1"/>
    <s v="D"/>
    <x v="0"/>
    <n v="12.15"/>
    <n v="72.900000000000006"/>
    <x v="1"/>
    <x v="2"/>
    <x v="1"/>
  </r>
  <r>
    <s v="HYR-03455-684"/>
    <x v="506"/>
    <x v="611"/>
    <s v="L-D-0.2"/>
    <n v="2"/>
    <x v="611"/>
    <s v="isjostromig@pbs.org"/>
    <x v="0"/>
    <x v="3"/>
    <s v="D"/>
    <x v="3"/>
    <n v="3.8849999999999998"/>
    <n v="7.77"/>
    <x v="3"/>
    <x v="2"/>
    <x v="1"/>
  </r>
  <r>
    <s v="HUG-52766-375"/>
    <x v="507"/>
    <x v="612"/>
    <s v="A-D-2.5"/>
    <n v="4"/>
    <x v="612"/>
    <s v="jbranchettii@bravesites.com"/>
    <x v="0"/>
    <x v="2"/>
    <s v="D"/>
    <x v="2"/>
    <n v="22.884999999999998"/>
    <n v="91.539999999999992"/>
    <x v="2"/>
    <x v="2"/>
    <x v="1"/>
  </r>
  <r>
    <s v="DAH-46595-917"/>
    <x v="508"/>
    <x v="613"/>
    <s v="A-D-1"/>
    <n v="6"/>
    <x v="613"/>
    <s v="nrudlandij@blogs.com"/>
    <x v="1"/>
    <x v="2"/>
    <s v="D"/>
    <x v="0"/>
    <n v="9.9499999999999993"/>
    <n v="59.699999999999996"/>
    <x v="2"/>
    <x v="2"/>
    <x v="1"/>
  </r>
  <r>
    <s v="VEM-79839-466"/>
    <x v="509"/>
    <x v="605"/>
    <s v="R-L-2.5"/>
    <n v="5"/>
    <x v="605"/>
    <s v="jmillettik@addtoany.com"/>
    <x v="0"/>
    <x v="0"/>
    <s v="L"/>
    <x v="2"/>
    <n v="27.484999999999996"/>
    <n v="137.42499999999998"/>
    <x v="0"/>
    <x v="1"/>
    <x v="0"/>
  </r>
  <r>
    <s v="OWH-11126-533"/>
    <x v="131"/>
    <x v="614"/>
    <s v="L-M-2.5"/>
    <n v="2"/>
    <x v="614"/>
    <s v="ftourryil@google.de"/>
    <x v="0"/>
    <x v="3"/>
    <s v="M"/>
    <x v="2"/>
    <n v="33.464999999999996"/>
    <n v="66.929999999999993"/>
    <x v="3"/>
    <x v="0"/>
    <x v="1"/>
  </r>
  <r>
    <s v="UMT-26130-151"/>
    <x v="510"/>
    <x v="615"/>
    <s v="L-M-0.2"/>
    <n v="3"/>
    <x v="615"/>
    <s v="cweatherallim@toplist.cz"/>
    <x v="0"/>
    <x v="3"/>
    <s v="M"/>
    <x v="3"/>
    <n v="4.3650000000000002"/>
    <n v="13.095000000000001"/>
    <x v="3"/>
    <x v="0"/>
    <x v="0"/>
  </r>
  <r>
    <s v="JKA-27899-806"/>
    <x v="511"/>
    <x v="616"/>
    <s v="R-L-1"/>
    <n v="5"/>
    <x v="616"/>
    <s v="gheindrickin@usda.gov"/>
    <x v="0"/>
    <x v="0"/>
    <s v="L"/>
    <x v="0"/>
    <n v="11.95"/>
    <n v="59.75"/>
    <x v="0"/>
    <x v="1"/>
    <x v="1"/>
  </r>
  <r>
    <s v="ULU-07744-724"/>
    <x v="512"/>
    <x v="617"/>
    <s v="L-M-0.5"/>
    <n v="5"/>
    <x v="617"/>
    <s v="limasonio@discuz.net"/>
    <x v="0"/>
    <x v="3"/>
    <s v="M"/>
    <x v="1"/>
    <n v="8.73"/>
    <n v="43.650000000000006"/>
    <x v="3"/>
    <x v="0"/>
    <x v="0"/>
  </r>
  <r>
    <s v="NOM-56457-507"/>
    <x v="513"/>
    <x v="618"/>
    <s v="E-M-1"/>
    <n v="6"/>
    <x v="618"/>
    <s v="hsaillip@odnoklassniki.ru"/>
    <x v="0"/>
    <x v="1"/>
    <s v="M"/>
    <x v="0"/>
    <n v="13.75"/>
    <n v="82.5"/>
    <x v="1"/>
    <x v="0"/>
    <x v="0"/>
  </r>
  <r>
    <s v="NZN-71683-705"/>
    <x v="514"/>
    <x v="619"/>
    <s v="A-L-2.5"/>
    <n v="6"/>
    <x v="619"/>
    <s v="hlarvoriq@last.fm"/>
    <x v="0"/>
    <x v="2"/>
    <s v="L"/>
    <x v="2"/>
    <n v="29.784999999999997"/>
    <n v="178.70999999999998"/>
    <x v="2"/>
    <x v="1"/>
    <x v="0"/>
  </r>
  <r>
    <s v="WMA-34232-850"/>
    <x v="7"/>
    <x v="620"/>
    <s v="L-D-2.5"/>
    <n v="4"/>
    <x v="620"/>
    <s v=""/>
    <x v="0"/>
    <x v="3"/>
    <s v="D"/>
    <x v="2"/>
    <n v="29.784999999999997"/>
    <n v="119.13999999999999"/>
    <x v="3"/>
    <x v="2"/>
    <x v="0"/>
  </r>
  <r>
    <s v="EZL-27919-704"/>
    <x v="481"/>
    <x v="621"/>
    <s v="L-L-0.5"/>
    <n v="5"/>
    <x v="621"/>
    <s v=""/>
    <x v="0"/>
    <x v="3"/>
    <s v="L"/>
    <x v="1"/>
    <n v="9.51"/>
    <n v="47.55"/>
    <x v="3"/>
    <x v="1"/>
    <x v="1"/>
  </r>
  <r>
    <s v="ZYU-11345-774"/>
    <x v="515"/>
    <x v="622"/>
    <s v="L-M-0.5"/>
    <n v="5"/>
    <x v="622"/>
    <s v="cpenwardenit@mlb.com"/>
    <x v="1"/>
    <x v="3"/>
    <s v="M"/>
    <x v="1"/>
    <n v="8.73"/>
    <n v="43.650000000000006"/>
    <x v="3"/>
    <x v="0"/>
    <x v="1"/>
  </r>
  <r>
    <s v="CPW-34587-459"/>
    <x v="516"/>
    <x v="623"/>
    <s v="A-L-2.5"/>
    <n v="6"/>
    <x v="623"/>
    <s v="mmiddisiu@dmoz.org"/>
    <x v="0"/>
    <x v="2"/>
    <s v="L"/>
    <x v="2"/>
    <n v="29.784999999999997"/>
    <n v="178.70999999999998"/>
    <x v="2"/>
    <x v="1"/>
    <x v="0"/>
  </r>
  <r>
    <s v="NQZ-82067-394"/>
    <x v="517"/>
    <x v="624"/>
    <s v="R-L-2.5"/>
    <n v="1"/>
    <x v="624"/>
    <s v="avairowiv@studiopress.com"/>
    <x v="2"/>
    <x v="0"/>
    <s v="L"/>
    <x v="2"/>
    <n v="27.484999999999996"/>
    <n v="27.484999999999996"/>
    <x v="0"/>
    <x v="1"/>
    <x v="1"/>
  </r>
  <r>
    <s v="JBW-95055-851"/>
    <x v="518"/>
    <x v="625"/>
    <s v="A-M-1"/>
    <n v="5"/>
    <x v="625"/>
    <s v="agoldieiw@goo.gl"/>
    <x v="0"/>
    <x v="2"/>
    <s v="M"/>
    <x v="0"/>
    <n v="11.25"/>
    <n v="56.25"/>
    <x v="2"/>
    <x v="0"/>
    <x v="1"/>
  </r>
  <r>
    <s v="AHY-20324-088"/>
    <x v="519"/>
    <x v="626"/>
    <s v="L-L-0.2"/>
    <n v="2"/>
    <x v="626"/>
    <s v="nayrisix@t-online.de"/>
    <x v="2"/>
    <x v="3"/>
    <s v="L"/>
    <x v="3"/>
    <n v="4.7549999999999999"/>
    <n v="9.51"/>
    <x v="3"/>
    <x v="1"/>
    <x v="0"/>
  </r>
  <r>
    <s v="ZSL-66684-103"/>
    <x v="520"/>
    <x v="627"/>
    <s v="E-M-0.2"/>
    <n v="2"/>
    <x v="627"/>
    <s v="lbenediktovichiy@wunderground.com"/>
    <x v="0"/>
    <x v="1"/>
    <s v="M"/>
    <x v="3"/>
    <n v="4.125"/>
    <n v="8.25"/>
    <x v="1"/>
    <x v="0"/>
    <x v="0"/>
  </r>
  <r>
    <s v="WNE-73911-475"/>
    <x v="521"/>
    <x v="628"/>
    <s v="L-D-0.5"/>
    <n v="6"/>
    <x v="628"/>
    <s v="tjacobovitziz@cbc.ca"/>
    <x v="0"/>
    <x v="3"/>
    <s v="D"/>
    <x v="1"/>
    <n v="7.77"/>
    <n v="46.62"/>
    <x v="3"/>
    <x v="2"/>
    <x v="1"/>
  </r>
  <r>
    <s v="EZB-68383-559"/>
    <x v="418"/>
    <x v="629"/>
    <s v="R-L-1"/>
    <n v="6"/>
    <x v="629"/>
    <s v=""/>
    <x v="0"/>
    <x v="0"/>
    <s v="L"/>
    <x v="0"/>
    <n v="11.95"/>
    <n v="71.699999999999989"/>
    <x v="0"/>
    <x v="1"/>
    <x v="1"/>
  </r>
  <r>
    <s v="OVO-01283-090"/>
    <x v="122"/>
    <x v="630"/>
    <s v="L-L-2.5"/>
    <n v="2"/>
    <x v="630"/>
    <s v="jdruittj1@feedburner.com"/>
    <x v="0"/>
    <x v="3"/>
    <s v="L"/>
    <x v="2"/>
    <n v="36.454999999999998"/>
    <n v="72.91"/>
    <x v="3"/>
    <x v="1"/>
    <x v="0"/>
  </r>
  <r>
    <s v="TXH-78646-919"/>
    <x v="423"/>
    <x v="631"/>
    <s v="R-D-0.2"/>
    <n v="3"/>
    <x v="631"/>
    <s v="dshortallj2@wikipedia.org"/>
    <x v="0"/>
    <x v="0"/>
    <s v="D"/>
    <x v="3"/>
    <n v="2.6849999999999996"/>
    <n v="8.0549999999999997"/>
    <x v="0"/>
    <x v="2"/>
    <x v="0"/>
  </r>
  <r>
    <s v="CYZ-37122-164"/>
    <x v="463"/>
    <x v="632"/>
    <s v="E-M-0.5"/>
    <n v="2"/>
    <x v="632"/>
    <s v="wcottierj3@cafepress.com"/>
    <x v="0"/>
    <x v="1"/>
    <s v="M"/>
    <x v="1"/>
    <n v="8.25"/>
    <n v="16.5"/>
    <x v="1"/>
    <x v="0"/>
    <x v="1"/>
  </r>
  <r>
    <s v="AGQ-06534-750"/>
    <x v="273"/>
    <x v="633"/>
    <s v="A-L-1"/>
    <n v="5"/>
    <x v="633"/>
    <s v="kgrinstedj4@google.com.br"/>
    <x v="1"/>
    <x v="2"/>
    <s v="L"/>
    <x v="0"/>
    <n v="12.95"/>
    <n v="64.75"/>
    <x v="2"/>
    <x v="1"/>
    <x v="1"/>
  </r>
  <r>
    <s v="QVL-32245-818"/>
    <x v="522"/>
    <x v="634"/>
    <s v="A-M-0.5"/>
    <n v="5"/>
    <x v="634"/>
    <s v="dskynerj5@hubpages.com"/>
    <x v="0"/>
    <x v="2"/>
    <s v="M"/>
    <x v="1"/>
    <n v="6.75"/>
    <n v="33.75"/>
    <x v="2"/>
    <x v="0"/>
    <x v="1"/>
  </r>
  <r>
    <s v="LTD-96842-834"/>
    <x v="523"/>
    <x v="635"/>
    <s v="L-D-2.5"/>
    <n v="6"/>
    <x v="635"/>
    <s v=""/>
    <x v="0"/>
    <x v="3"/>
    <s v="D"/>
    <x v="2"/>
    <n v="29.784999999999997"/>
    <n v="178.70999999999998"/>
    <x v="3"/>
    <x v="2"/>
    <x v="1"/>
  </r>
  <r>
    <s v="SEC-91807-425"/>
    <x v="260"/>
    <x v="636"/>
    <s v="A-M-1"/>
    <n v="2"/>
    <x v="636"/>
    <s v="jdymokeje@prnewswire.com"/>
    <x v="1"/>
    <x v="2"/>
    <s v="M"/>
    <x v="0"/>
    <n v="11.25"/>
    <n v="22.5"/>
    <x v="2"/>
    <x v="0"/>
    <x v="1"/>
  </r>
  <r>
    <s v="MHM-44857-599"/>
    <x v="331"/>
    <x v="637"/>
    <s v="L-D-1"/>
    <n v="1"/>
    <x v="637"/>
    <s v="aweinmannj8@shinystat.com"/>
    <x v="0"/>
    <x v="3"/>
    <s v="D"/>
    <x v="0"/>
    <n v="12.95"/>
    <n v="12.95"/>
    <x v="3"/>
    <x v="2"/>
    <x v="1"/>
  </r>
  <r>
    <s v="KGC-95046-911"/>
    <x v="524"/>
    <x v="638"/>
    <s v="A-M-2.5"/>
    <n v="2"/>
    <x v="638"/>
    <s v="eandriessenj9@europa.eu"/>
    <x v="0"/>
    <x v="2"/>
    <s v="M"/>
    <x v="2"/>
    <n v="25.874999999999996"/>
    <n v="51.749999999999993"/>
    <x v="2"/>
    <x v="0"/>
    <x v="0"/>
  </r>
  <r>
    <s v="RZC-75150-413"/>
    <x v="525"/>
    <x v="639"/>
    <s v="E-D-0.5"/>
    <n v="5"/>
    <x v="639"/>
    <s v="rdeaconsonja@archive.org"/>
    <x v="0"/>
    <x v="1"/>
    <s v="D"/>
    <x v="1"/>
    <n v="7.29"/>
    <n v="36.450000000000003"/>
    <x v="1"/>
    <x v="2"/>
    <x v="1"/>
  </r>
  <r>
    <s v="EYH-88288-452"/>
    <x v="526"/>
    <x v="640"/>
    <s v="L-L-2.5"/>
    <n v="5"/>
    <x v="640"/>
    <s v="dcarojb@twitter.com"/>
    <x v="0"/>
    <x v="3"/>
    <s v="L"/>
    <x v="2"/>
    <n v="36.454999999999998"/>
    <n v="182.27499999999998"/>
    <x v="3"/>
    <x v="1"/>
    <x v="0"/>
  </r>
  <r>
    <s v="NYQ-24237-772"/>
    <x v="104"/>
    <x v="641"/>
    <s v="L-D-0.5"/>
    <n v="4"/>
    <x v="641"/>
    <s v="jbluckjc@imageshack.us"/>
    <x v="0"/>
    <x v="3"/>
    <s v="D"/>
    <x v="1"/>
    <n v="7.77"/>
    <n v="31.08"/>
    <x v="3"/>
    <x v="2"/>
    <x v="1"/>
  </r>
  <r>
    <s v="WKB-21680-566"/>
    <x v="491"/>
    <x v="642"/>
    <s v="A-M-0.5"/>
    <n v="3"/>
    <x v="642"/>
    <s v=""/>
    <x v="1"/>
    <x v="2"/>
    <s v="M"/>
    <x v="1"/>
    <n v="6.75"/>
    <n v="20.25"/>
    <x v="2"/>
    <x v="0"/>
    <x v="1"/>
  </r>
  <r>
    <s v="THE-61147-027"/>
    <x v="157"/>
    <x v="636"/>
    <s v="L-D-1"/>
    <n v="2"/>
    <x v="636"/>
    <s v="jdymokeje@prnewswire.com"/>
    <x v="1"/>
    <x v="3"/>
    <s v="D"/>
    <x v="0"/>
    <n v="12.95"/>
    <n v="25.9"/>
    <x v="3"/>
    <x v="2"/>
    <x v="1"/>
  </r>
  <r>
    <s v="PTY-86420-119"/>
    <x v="527"/>
    <x v="643"/>
    <s v="A-D-0.5"/>
    <n v="4"/>
    <x v="643"/>
    <s v="otadmanjf@ft.com"/>
    <x v="0"/>
    <x v="2"/>
    <s v="D"/>
    <x v="1"/>
    <n v="5.97"/>
    <n v="23.88"/>
    <x v="2"/>
    <x v="2"/>
    <x v="0"/>
  </r>
  <r>
    <s v="QHL-27188-431"/>
    <x v="528"/>
    <x v="644"/>
    <s v="L-L-0.5"/>
    <n v="2"/>
    <x v="644"/>
    <s v="bguddejg@dailymotion.com"/>
    <x v="0"/>
    <x v="3"/>
    <s v="L"/>
    <x v="1"/>
    <n v="9.51"/>
    <n v="19.02"/>
    <x v="3"/>
    <x v="1"/>
    <x v="1"/>
  </r>
  <r>
    <s v="MIS-54381-047"/>
    <x v="99"/>
    <x v="645"/>
    <s v="A-D-0.5"/>
    <n v="5"/>
    <x v="645"/>
    <s v="nsictornesjh@buzzfeed.com"/>
    <x v="1"/>
    <x v="2"/>
    <s v="D"/>
    <x v="1"/>
    <n v="5.97"/>
    <n v="29.849999999999998"/>
    <x v="2"/>
    <x v="2"/>
    <x v="0"/>
  </r>
  <r>
    <s v="TBB-29780-459"/>
    <x v="529"/>
    <x v="646"/>
    <s v="A-L-0.5"/>
    <n v="1"/>
    <x v="646"/>
    <s v="vdunningji@independent.co.uk"/>
    <x v="0"/>
    <x v="2"/>
    <s v="L"/>
    <x v="1"/>
    <n v="7.77"/>
    <n v="7.77"/>
    <x v="2"/>
    <x v="1"/>
    <x v="0"/>
  </r>
  <r>
    <s v="QLC-52637-305"/>
    <x v="530"/>
    <x v="647"/>
    <s v="L-D-2.5"/>
    <n v="4"/>
    <x v="647"/>
    <s v=""/>
    <x v="1"/>
    <x v="3"/>
    <s v="D"/>
    <x v="2"/>
    <n v="29.784999999999997"/>
    <n v="119.13999999999999"/>
    <x v="3"/>
    <x v="2"/>
    <x v="0"/>
  </r>
  <r>
    <s v="CWT-27056-328"/>
    <x v="531"/>
    <x v="648"/>
    <s v="E-D-0.2"/>
    <n v="6"/>
    <x v="648"/>
    <s v=""/>
    <x v="0"/>
    <x v="1"/>
    <s v="D"/>
    <x v="3"/>
    <n v="3.645"/>
    <n v="21.87"/>
    <x v="1"/>
    <x v="2"/>
    <x v="0"/>
  </r>
  <r>
    <s v="ASS-05878-128"/>
    <x v="210"/>
    <x v="649"/>
    <s v="E-L-0.5"/>
    <n v="2"/>
    <x v="649"/>
    <s v="sgehringjl@gnu.org"/>
    <x v="0"/>
    <x v="1"/>
    <s v="L"/>
    <x v="1"/>
    <n v="8.91"/>
    <n v="17.82"/>
    <x v="1"/>
    <x v="1"/>
    <x v="1"/>
  </r>
  <r>
    <s v="EGK-03027-418"/>
    <x v="532"/>
    <x v="650"/>
    <s v="E-M-0.2"/>
    <n v="3"/>
    <x v="650"/>
    <s v="bfallowesjm@purevolume.com"/>
    <x v="0"/>
    <x v="1"/>
    <s v="M"/>
    <x v="3"/>
    <n v="4.125"/>
    <n v="12.375"/>
    <x v="1"/>
    <x v="0"/>
    <x v="1"/>
  </r>
  <r>
    <s v="KCY-61732-849"/>
    <x v="533"/>
    <x v="651"/>
    <s v="L-D-1"/>
    <n v="2"/>
    <x v="651"/>
    <s v=""/>
    <x v="1"/>
    <x v="3"/>
    <s v="D"/>
    <x v="0"/>
    <n v="12.95"/>
    <n v="25.9"/>
    <x v="3"/>
    <x v="2"/>
    <x v="1"/>
  </r>
  <r>
    <s v="BLI-21697-702"/>
    <x v="534"/>
    <x v="652"/>
    <s v="A-M-0.5"/>
    <n v="2"/>
    <x v="652"/>
    <s v="sdejo@newsvine.com"/>
    <x v="0"/>
    <x v="2"/>
    <s v="M"/>
    <x v="1"/>
    <n v="6.75"/>
    <n v="13.5"/>
    <x v="2"/>
    <x v="0"/>
    <x v="0"/>
  </r>
  <r>
    <s v="KFJ-46568-890"/>
    <x v="535"/>
    <x v="653"/>
    <s v="E-L-0.5"/>
    <n v="2"/>
    <x v="653"/>
    <s v=""/>
    <x v="0"/>
    <x v="1"/>
    <s v="L"/>
    <x v="1"/>
    <n v="8.91"/>
    <n v="17.82"/>
    <x v="1"/>
    <x v="1"/>
    <x v="0"/>
  </r>
  <r>
    <s v="SOK-43535-680"/>
    <x v="536"/>
    <x v="654"/>
    <s v="E-M-0.5"/>
    <n v="3"/>
    <x v="654"/>
    <s v="scountjq@nba.com"/>
    <x v="0"/>
    <x v="1"/>
    <s v="M"/>
    <x v="1"/>
    <n v="8.25"/>
    <n v="24.75"/>
    <x v="1"/>
    <x v="0"/>
    <x v="1"/>
  </r>
  <r>
    <s v="XUE-87260-201"/>
    <x v="537"/>
    <x v="655"/>
    <s v="R-M-0.2"/>
    <n v="6"/>
    <x v="655"/>
    <s v="sraglesjr@blogtalkradio.com"/>
    <x v="0"/>
    <x v="0"/>
    <s v="M"/>
    <x v="3"/>
    <n v="2.9849999999999999"/>
    <n v="17.91"/>
    <x v="0"/>
    <x v="0"/>
    <x v="1"/>
  </r>
  <r>
    <s v="CZF-40873-691"/>
    <x v="61"/>
    <x v="656"/>
    <s v="E-M-0.5"/>
    <n v="2"/>
    <x v="656"/>
    <s v=""/>
    <x v="2"/>
    <x v="1"/>
    <s v="M"/>
    <x v="1"/>
    <n v="8.25"/>
    <n v="16.5"/>
    <x v="1"/>
    <x v="0"/>
    <x v="1"/>
  </r>
  <r>
    <s v="AIA-98989-755"/>
    <x v="242"/>
    <x v="657"/>
    <s v="R-M-0.2"/>
    <n v="1"/>
    <x v="657"/>
    <s v="sbruunjt@blogtalkradio.com"/>
    <x v="0"/>
    <x v="0"/>
    <s v="M"/>
    <x v="3"/>
    <n v="2.9849999999999999"/>
    <n v="2.9849999999999999"/>
    <x v="0"/>
    <x v="0"/>
    <x v="1"/>
  </r>
  <r>
    <s v="ITZ-21793-986"/>
    <x v="299"/>
    <x v="658"/>
    <s v="E-D-0.2"/>
    <n v="4"/>
    <x v="658"/>
    <s v="aplluju@dagondesign.com"/>
    <x v="1"/>
    <x v="1"/>
    <s v="D"/>
    <x v="3"/>
    <n v="3.645"/>
    <n v="14.58"/>
    <x v="1"/>
    <x v="2"/>
    <x v="0"/>
  </r>
  <r>
    <s v="YOK-93322-608"/>
    <x v="343"/>
    <x v="659"/>
    <s v="E-L-1"/>
    <n v="6"/>
    <x v="659"/>
    <s v="gcornierjv@techcrunch.com"/>
    <x v="0"/>
    <x v="1"/>
    <s v="L"/>
    <x v="0"/>
    <n v="14.85"/>
    <n v="89.1"/>
    <x v="1"/>
    <x v="1"/>
    <x v="1"/>
  </r>
  <r>
    <s v="LXK-00634-611"/>
    <x v="538"/>
    <x v="636"/>
    <s v="R-L-1"/>
    <n v="3"/>
    <x v="636"/>
    <s v="jdymokeje@prnewswire.com"/>
    <x v="1"/>
    <x v="0"/>
    <s v="L"/>
    <x v="0"/>
    <n v="11.95"/>
    <n v="35.849999999999994"/>
    <x v="0"/>
    <x v="1"/>
    <x v="1"/>
  </r>
  <r>
    <s v="CQW-37388-302"/>
    <x v="539"/>
    <x v="660"/>
    <s v="A-D-2.5"/>
    <n v="3"/>
    <x v="660"/>
    <s v="wharvisonjx@gizmodo.com"/>
    <x v="0"/>
    <x v="2"/>
    <s v="D"/>
    <x v="2"/>
    <n v="22.884999999999998"/>
    <n v="68.655000000000001"/>
    <x v="2"/>
    <x v="2"/>
    <x v="1"/>
  </r>
  <r>
    <s v="SPA-79365-334"/>
    <x v="27"/>
    <x v="661"/>
    <s v="L-D-1"/>
    <n v="3"/>
    <x v="661"/>
    <s v="dheafordjy@twitpic.com"/>
    <x v="0"/>
    <x v="3"/>
    <s v="D"/>
    <x v="0"/>
    <n v="12.95"/>
    <n v="38.849999999999994"/>
    <x v="3"/>
    <x v="2"/>
    <x v="1"/>
  </r>
  <r>
    <s v="VPX-08817-517"/>
    <x v="540"/>
    <x v="662"/>
    <s v="L-L-1"/>
    <n v="5"/>
    <x v="662"/>
    <s v="gfanthamjz@hexun.com"/>
    <x v="0"/>
    <x v="3"/>
    <s v="L"/>
    <x v="0"/>
    <n v="15.85"/>
    <n v="79.25"/>
    <x v="3"/>
    <x v="1"/>
    <x v="0"/>
  </r>
  <r>
    <s v="PBP-87115-410"/>
    <x v="541"/>
    <x v="663"/>
    <s v="E-D-0.5"/>
    <n v="5"/>
    <x v="663"/>
    <s v="rcrookshanksk0@unc.edu"/>
    <x v="0"/>
    <x v="1"/>
    <s v="D"/>
    <x v="1"/>
    <n v="7.29"/>
    <n v="36.450000000000003"/>
    <x v="1"/>
    <x v="2"/>
    <x v="0"/>
  </r>
  <r>
    <s v="SFB-93752-440"/>
    <x v="390"/>
    <x v="664"/>
    <s v="R-M-0.2"/>
    <n v="3"/>
    <x v="664"/>
    <s v="nleakek1@cmu.edu"/>
    <x v="0"/>
    <x v="0"/>
    <s v="M"/>
    <x v="3"/>
    <n v="2.9849999999999999"/>
    <n v="8.9550000000000001"/>
    <x v="0"/>
    <x v="0"/>
    <x v="0"/>
  </r>
  <r>
    <s v="TBU-65158-068"/>
    <x v="396"/>
    <x v="665"/>
    <s v="E-D-1"/>
    <n v="2"/>
    <x v="665"/>
    <s v=""/>
    <x v="0"/>
    <x v="1"/>
    <s v="D"/>
    <x v="0"/>
    <n v="12.15"/>
    <n v="24.3"/>
    <x v="1"/>
    <x v="2"/>
    <x v="1"/>
  </r>
  <r>
    <s v="TEH-08414-216"/>
    <x v="185"/>
    <x v="666"/>
    <s v="E-M-2.5"/>
    <n v="2"/>
    <x v="666"/>
    <s v="geilhersenk3@networksolutions.com"/>
    <x v="0"/>
    <x v="1"/>
    <s v="M"/>
    <x v="2"/>
    <n v="31.624999999999996"/>
    <n v="63.249999999999993"/>
    <x v="1"/>
    <x v="0"/>
    <x v="1"/>
  </r>
  <r>
    <s v="MAY-77231-536"/>
    <x v="542"/>
    <x v="667"/>
    <s v="A-M-0.2"/>
    <n v="2"/>
    <x v="667"/>
    <s v=""/>
    <x v="0"/>
    <x v="2"/>
    <s v="M"/>
    <x v="3"/>
    <n v="3.375"/>
    <n v="6.75"/>
    <x v="2"/>
    <x v="0"/>
    <x v="0"/>
  </r>
  <r>
    <s v="ATY-28980-884"/>
    <x v="117"/>
    <x v="668"/>
    <s v="A-L-0.2"/>
    <n v="6"/>
    <x v="668"/>
    <s v="caleixok5@globo.com"/>
    <x v="0"/>
    <x v="2"/>
    <s v="L"/>
    <x v="3"/>
    <n v="3.8849999999999998"/>
    <n v="23.31"/>
    <x v="2"/>
    <x v="1"/>
    <x v="1"/>
  </r>
  <r>
    <s v="SWP-88281-918"/>
    <x v="543"/>
    <x v="669"/>
    <s v="L-L-2.5"/>
    <n v="4"/>
    <x v="669"/>
    <s v=""/>
    <x v="0"/>
    <x v="3"/>
    <s v="L"/>
    <x v="2"/>
    <n v="36.454999999999998"/>
    <n v="145.82"/>
    <x v="3"/>
    <x v="1"/>
    <x v="1"/>
  </r>
  <r>
    <s v="VCE-56531-986"/>
    <x v="544"/>
    <x v="670"/>
    <s v="R-M-0.5"/>
    <n v="5"/>
    <x v="670"/>
    <s v="rtomkowiczk7@bravesites.com"/>
    <x v="1"/>
    <x v="0"/>
    <s v="M"/>
    <x v="1"/>
    <n v="5.97"/>
    <n v="29.849999999999998"/>
    <x v="0"/>
    <x v="0"/>
    <x v="0"/>
  </r>
  <r>
    <s v="FVV-75700-005"/>
    <x v="545"/>
    <x v="671"/>
    <s v="E-D-0.5"/>
    <n v="3"/>
    <x v="671"/>
    <s v="rhuscroftk8@jimdo.com"/>
    <x v="0"/>
    <x v="1"/>
    <s v="D"/>
    <x v="1"/>
    <n v="7.29"/>
    <n v="21.87"/>
    <x v="1"/>
    <x v="2"/>
    <x v="0"/>
  </r>
  <r>
    <s v="CFZ-53492-600"/>
    <x v="546"/>
    <x v="672"/>
    <s v="L-M-0.2"/>
    <n v="1"/>
    <x v="672"/>
    <s v="sscurrerk9@flavors.me"/>
    <x v="2"/>
    <x v="3"/>
    <s v="M"/>
    <x v="3"/>
    <n v="4.3650000000000002"/>
    <n v="4.3650000000000002"/>
    <x v="3"/>
    <x v="0"/>
    <x v="1"/>
  </r>
  <r>
    <s v="LDK-71031-121"/>
    <x v="420"/>
    <x v="673"/>
    <s v="L-L-2.5"/>
    <n v="1"/>
    <x v="673"/>
    <s v="arudramka@prnewswire.com"/>
    <x v="0"/>
    <x v="3"/>
    <s v="L"/>
    <x v="2"/>
    <n v="36.454999999999998"/>
    <n v="36.454999999999998"/>
    <x v="3"/>
    <x v="1"/>
    <x v="1"/>
  </r>
  <r>
    <s v="EBA-82404-343"/>
    <x v="547"/>
    <x v="674"/>
    <s v="L-D-0.2"/>
    <n v="4"/>
    <x v="674"/>
    <s v=""/>
    <x v="0"/>
    <x v="3"/>
    <s v="D"/>
    <x v="3"/>
    <n v="3.8849999999999998"/>
    <n v="15.54"/>
    <x v="3"/>
    <x v="2"/>
    <x v="0"/>
  </r>
  <r>
    <s v="USA-42811-560"/>
    <x v="548"/>
    <x v="675"/>
    <s v="E-L-0.2"/>
    <n v="2"/>
    <x v="675"/>
    <s v="jmahakc@cyberchimps.com"/>
    <x v="0"/>
    <x v="1"/>
    <s v="L"/>
    <x v="3"/>
    <n v="4.4550000000000001"/>
    <n v="8.91"/>
    <x v="1"/>
    <x v="1"/>
    <x v="1"/>
  </r>
  <r>
    <s v="SNL-83703-516"/>
    <x v="549"/>
    <x v="676"/>
    <s v="L-M-2.5"/>
    <n v="3"/>
    <x v="676"/>
    <s v="gclemonkd@networksolutions.com"/>
    <x v="0"/>
    <x v="3"/>
    <s v="M"/>
    <x v="2"/>
    <n v="33.464999999999996"/>
    <n v="100.39499999999998"/>
    <x v="3"/>
    <x v="0"/>
    <x v="0"/>
  </r>
  <r>
    <s v="SUZ-83036-175"/>
    <x v="550"/>
    <x v="677"/>
    <s v="R-D-0.2"/>
    <n v="5"/>
    <x v="677"/>
    <s v=""/>
    <x v="0"/>
    <x v="0"/>
    <s v="D"/>
    <x v="3"/>
    <n v="2.6849999999999996"/>
    <n v="13.424999999999997"/>
    <x v="0"/>
    <x v="2"/>
    <x v="1"/>
  </r>
  <r>
    <s v="RGM-01187-513"/>
    <x v="551"/>
    <x v="678"/>
    <s v="E-D-0.2"/>
    <n v="6"/>
    <x v="678"/>
    <s v="bpollinskf@shinystat.com"/>
    <x v="0"/>
    <x v="1"/>
    <s v="D"/>
    <x v="3"/>
    <n v="3.645"/>
    <n v="21.87"/>
    <x v="1"/>
    <x v="2"/>
    <x v="1"/>
  </r>
  <r>
    <s v="CZG-01299-952"/>
    <x v="552"/>
    <x v="679"/>
    <s v="L-D-1"/>
    <n v="2"/>
    <x v="679"/>
    <s v="jtoyekg@pinterest.com"/>
    <x v="1"/>
    <x v="3"/>
    <s v="D"/>
    <x v="0"/>
    <n v="12.95"/>
    <n v="25.9"/>
    <x v="3"/>
    <x v="2"/>
    <x v="0"/>
  </r>
  <r>
    <s v="KLD-88731-484"/>
    <x v="553"/>
    <x v="680"/>
    <s v="A-M-1"/>
    <n v="5"/>
    <x v="680"/>
    <s v="clinskillkh@sphinn.com"/>
    <x v="0"/>
    <x v="2"/>
    <s v="M"/>
    <x v="0"/>
    <n v="11.25"/>
    <n v="56.25"/>
    <x v="2"/>
    <x v="0"/>
    <x v="1"/>
  </r>
  <r>
    <s v="BQK-38412-229"/>
    <x v="554"/>
    <x v="681"/>
    <s v="R-L-0.2"/>
    <n v="3"/>
    <x v="681"/>
    <s v="nvigrasski@ezinearticles.com"/>
    <x v="2"/>
    <x v="0"/>
    <s v="L"/>
    <x v="3"/>
    <n v="3.5849999999999995"/>
    <n v="10.754999999999999"/>
    <x v="0"/>
    <x v="1"/>
    <x v="1"/>
  </r>
  <r>
    <s v="TCX-76953-071"/>
    <x v="555"/>
    <x v="636"/>
    <s v="E-D-0.2"/>
    <n v="5"/>
    <x v="636"/>
    <s v="jdymokeje@prnewswire.com"/>
    <x v="1"/>
    <x v="1"/>
    <s v="D"/>
    <x v="3"/>
    <n v="3.645"/>
    <n v="18.225000000000001"/>
    <x v="1"/>
    <x v="2"/>
    <x v="1"/>
  </r>
  <r>
    <s v="LIN-88046-551"/>
    <x v="150"/>
    <x v="682"/>
    <s v="R-L-0.5"/>
    <n v="4"/>
    <x v="682"/>
    <s v="kcragellkk@google.com"/>
    <x v="1"/>
    <x v="0"/>
    <s v="L"/>
    <x v="1"/>
    <n v="7.169999999999999"/>
    <n v="28.679999999999996"/>
    <x v="0"/>
    <x v="1"/>
    <x v="1"/>
  </r>
  <r>
    <s v="PMV-54491-220"/>
    <x v="556"/>
    <x v="683"/>
    <s v="L-M-0.2"/>
    <n v="2"/>
    <x v="683"/>
    <s v="libertkl@huffingtonpost.com"/>
    <x v="0"/>
    <x v="3"/>
    <s v="M"/>
    <x v="3"/>
    <n v="4.3650000000000002"/>
    <n v="8.73"/>
    <x v="3"/>
    <x v="0"/>
    <x v="1"/>
  </r>
  <r>
    <s v="SKA-73676-005"/>
    <x v="327"/>
    <x v="684"/>
    <s v="L-M-1"/>
    <n v="4"/>
    <x v="684"/>
    <s v="rlidgeykm@vimeo.com"/>
    <x v="0"/>
    <x v="3"/>
    <s v="M"/>
    <x v="0"/>
    <n v="14.55"/>
    <n v="58.2"/>
    <x v="3"/>
    <x v="0"/>
    <x v="1"/>
  </r>
  <r>
    <s v="TKH-62197-239"/>
    <x v="557"/>
    <x v="685"/>
    <s v="A-D-0.5"/>
    <n v="3"/>
    <x v="685"/>
    <s v="tcastagnekn@wikia.com"/>
    <x v="0"/>
    <x v="2"/>
    <s v="D"/>
    <x v="1"/>
    <n v="5.97"/>
    <n v="17.91"/>
    <x v="2"/>
    <x v="2"/>
    <x v="1"/>
  </r>
  <r>
    <s v="YXF-57218-272"/>
    <x v="333"/>
    <x v="686"/>
    <s v="R-M-0.2"/>
    <n v="6"/>
    <x v="686"/>
    <s v=""/>
    <x v="0"/>
    <x v="0"/>
    <s v="M"/>
    <x v="3"/>
    <n v="2.9849999999999999"/>
    <n v="17.91"/>
    <x v="0"/>
    <x v="0"/>
    <x v="0"/>
  </r>
  <r>
    <s v="PKJ-30083-501"/>
    <x v="558"/>
    <x v="687"/>
    <s v="E-D-0.5"/>
    <n v="2"/>
    <x v="687"/>
    <s v="jhaldenkp@comcast.net"/>
    <x v="1"/>
    <x v="1"/>
    <s v="D"/>
    <x v="1"/>
    <n v="7.29"/>
    <n v="14.58"/>
    <x v="1"/>
    <x v="2"/>
    <x v="1"/>
  </r>
  <r>
    <s v="WTT-91832-645"/>
    <x v="559"/>
    <x v="688"/>
    <s v="A-M-1"/>
    <n v="3"/>
    <x v="688"/>
    <s v="holliffkq@sciencedirect.com"/>
    <x v="1"/>
    <x v="2"/>
    <s v="M"/>
    <x v="0"/>
    <n v="11.25"/>
    <n v="33.75"/>
    <x v="2"/>
    <x v="0"/>
    <x v="1"/>
  </r>
  <r>
    <s v="TRZ-94735-865"/>
    <x v="310"/>
    <x v="689"/>
    <s v="L-M-0.5"/>
    <n v="4"/>
    <x v="689"/>
    <s v="tquadrikr@opensource.org"/>
    <x v="1"/>
    <x v="3"/>
    <s v="M"/>
    <x v="1"/>
    <n v="8.73"/>
    <n v="34.92"/>
    <x v="3"/>
    <x v="0"/>
    <x v="0"/>
  </r>
  <r>
    <s v="UDB-09651-780"/>
    <x v="560"/>
    <x v="690"/>
    <s v="E-D-0.5"/>
    <n v="2"/>
    <x v="690"/>
    <s v="feshmadeks@umn.edu"/>
    <x v="0"/>
    <x v="1"/>
    <s v="D"/>
    <x v="1"/>
    <n v="7.29"/>
    <n v="14.58"/>
    <x v="1"/>
    <x v="2"/>
    <x v="1"/>
  </r>
  <r>
    <s v="EHJ-82097-549"/>
    <x v="561"/>
    <x v="691"/>
    <s v="R-D-0.2"/>
    <n v="2"/>
    <x v="691"/>
    <s v="moilierkt@paginegialle.it"/>
    <x v="1"/>
    <x v="0"/>
    <s v="D"/>
    <x v="3"/>
    <n v="2.6849999999999996"/>
    <n v="5.3699999999999992"/>
    <x v="0"/>
    <x v="2"/>
    <x v="0"/>
  </r>
  <r>
    <s v="ZFR-79447-696"/>
    <x v="562"/>
    <x v="692"/>
    <s v="R-M-0.5"/>
    <n v="1"/>
    <x v="692"/>
    <s v=""/>
    <x v="0"/>
    <x v="0"/>
    <s v="M"/>
    <x v="1"/>
    <n v="5.97"/>
    <n v="5.97"/>
    <x v="0"/>
    <x v="0"/>
    <x v="0"/>
  </r>
  <r>
    <s v="NUU-03893-975"/>
    <x v="563"/>
    <x v="693"/>
    <s v="L-L-0.5"/>
    <n v="2"/>
    <x v="693"/>
    <s v="vshoebothamkv@redcross.org"/>
    <x v="0"/>
    <x v="3"/>
    <s v="L"/>
    <x v="1"/>
    <n v="9.51"/>
    <n v="19.02"/>
    <x v="3"/>
    <x v="1"/>
    <x v="1"/>
  </r>
  <r>
    <s v="GVG-59542-307"/>
    <x v="564"/>
    <x v="694"/>
    <s v="E-M-1"/>
    <n v="2"/>
    <x v="694"/>
    <s v="bsterkekw@biblegateway.com"/>
    <x v="0"/>
    <x v="1"/>
    <s v="M"/>
    <x v="0"/>
    <n v="13.75"/>
    <n v="27.5"/>
    <x v="1"/>
    <x v="0"/>
    <x v="0"/>
  </r>
  <r>
    <s v="YLY-35287-172"/>
    <x v="565"/>
    <x v="695"/>
    <s v="A-D-0.5"/>
    <n v="5"/>
    <x v="695"/>
    <s v="scaponkx@craigslist.org"/>
    <x v="0"/>
    <x v="2"/>
    <s v="D"/>
    <x v="1"/>
    <n v="5.97"/>
    <n v="29.849999999999998"/>
    <x v="2"/>
    <x v="2"/>
    <x v="1"/>
  </r>
  <r>
    <s v="DCI-96254-548"/>
    <x v="566"/>
    <x v="636"/>
    <s v="A-D-0.2"/>
    <n v="6"/>
    <x v="636"/>
    <s v="jdymokeje@prnewswire.com"/>
    <x v="1"/>
    <x v="2"/>
    <s v="D"/>
    <x v="3"/>
    <n v="2.9849999999999999"/>
    <n v="17.91"/>
    <x v="2"/>
    <x v="2"/>
    <x v="1"/>
  </r>
  <r>
    <s v="KHZ-26264-253"/>
    <x v="160"/>
    <x v="696"/>
    <s v="L-L-0.2"/>
    <n v="6"/>
    <x v="696"/>
    <s v="fconstancekz@ifeng.com"/>
    <x v="0"/>
    <x v="3"/>
    <s v="L"/>
    <x v="3"/>
    <n v="4.7549999999999999"/>
    <n v="28.53"/>
    <x v="3"/>
    <x v="1"/>
    <x v="1"/>
  </r>
  <r>
    <s v="AAQ-13644-699"/>
    <x v="567"/>
    <x v="697"/>
    <s v="R-D-1"/>
    <n v="4"/>
    <x v="697"/>
    <s v="fsulmanl0@washington.edu"/>
    <x v="0"/>
    <x v="0"/>
    <s v="D"/>
    <x v="0"/>
    <n v="8.9499999999999993"/>
    <n v="35.799999999999997"/>
    <x v="0"/>
    <x v="2"/>
    <x v="0"/>
  </r>
  <r>
    <s v="LWL-68108-794"/>
    <x v="568"/>
    <x v="698"/>
    <s v="A-D-0.5"/>
    <n v="3"/>
    <x v="698"/>
    <s v="dhollymanl1@ibm.com"/>
    <x v="0"/>
    <x v="2"/>
    <s v="D"/>
    <x v="1"/>
    <n v="5.97"/>
    <n v="17.91"/>
    <x v="2"/>
    <x v="2"/>
    <x v="0"/>
  </r>
  <r>
    <s v="JQT-14347-517"/>
    <x v="569"/>
    <x v="699"/>
    <s v="R-D-1"/>
    <n v="1"/>
    <x v="699"/>
    <s v="lnardonil2@hao123.com"/>
    <x v="0"/>
    <x v="0"/>
    <s v="D"/>
    <x v="0"/>
    <n v="8.9499999999999993"/>
    <n v="8.9499999999999993"/>
    <x v="0"/>
    <x v="2"/>
    <x v="1"/>
  </r>
  <r>
    <s v="BMM-86471-923"/>
    <x v="570"/>
    <x v="700"/>
    <s v="L-D-2.5"/>
    <n v="1"/>
    <x v="700"/>
    <s v="dyarhaml3@moonfruit.com"/>
    <x v="0"/>
    <x v="3"/>
    <s v="D"/>
    <x v="2"/>
    <n v="29.784999999999997"/>
    <n v="29.784999999999997"/>
    <x v="3"/>
    <x v="2"/>
    <x v="0"/>
  </r>
  <r>
    <s v="IXU-67272-326"/>
    <x v="571"/>
    <x v="701"/>
    <s v="E-L-0.5"/>
    <n v="5"/>
    <x v="701"/>
    <s v="aferreal4@wikia.com"/>
    <x v="0"/>
    <x v="1"/>
    <s v="L"/>
    <x v="1"/>
    <n v="8.91"/>
    <n v="44.55"/>
    <x v="1"/>
    <x v="1"/>
    <x v="1"/>
  </r>
  <r>
    <s v="ITE-28312-615"/>
    <x v="139"/>
    <x v="702"/>
    <s v="E-L-1"/>
    <n v="6"/>
    <x v="702"/>
    <s v="ckendrickl5@webnode.com"/>
    <x v="0"/>
    <x v="1"/>
    <s v="L"/>
    <x v="0"/>
    <n v="14.85"/>
    <n v="89.1"/>
    <x v="1"/>
    <x v="1"/>
    <x v="0"/>
  </r>
  <r>
    <s v="ZHQ-30471-635"/>
    <x v="303"/>
    <x v="703"/>
    <s v="L-M-0.5"/>
    <n v="5"/>
    <x v="703"/>
    <s v="sdanilchikl6@mit.edu"/>
    <x v="2"/>
    <x v="3"/>
    <s v="M"/>
    <x v="1"/>
    <n v="8.73"/>
    <n v="43.650000000000006"/>
    <x v="3"/>
    <x v="0"/>
    <x v="1"/>
  </r>
  <r>
    <s v="LTP-31133-134"/>
    <x v="572"/>
    <x v="704"/>
    <s v="A-L-0.5"/>
    <n v="3"/>
    <x v="704"/>
    <s v=""/>
    <x v="0"/>
    <x v="2"/>
    <s v="L"/>
    <x v="1"/>
    <n v="7.77"/>
    <n v="23.31"/>
    <x v="2"/>
    <x v="1"/>
    <x v="1"/>
  </r>
  <r>
    <s v="ZVQ-26122-859"/>
    <x v="573"/>
    <x v="705"/>
    <s v="A-L-2.5"/>
    <n v="6"/>
    <x v="705"/>
    <s v="bfolomkinl8@yolasite.com"/>
    <x v="0"/>
    <x v="2"/>
    <s v="L"/>
    <x v="2"/>
    <n v="29.784999999999997"/>
    <n v="178.70999999999998"/>
    <x v="2"/>
    <x v="1"/>
    <x v="0"/>
  </r>
  <r>
    <s v="MIU-01481-194"/>
    <x v="574"/>
    <x v="706"/>
    <s v="R-M-1"/>
    <n v="6"/>
    <x v="706"/>
    <s v="rpursglovel9@biblegateway.com"/>
    <x v="0"/>
    <x v="0"/>
    <s v="M"/>
    <x v="0"/>
    <n v="9.9499999999999993"/>
    <n v="59.699999999999996"/>
    <x v="0"/>
    <x v="0"/>
    <x v="0"/>
  </r>
  <r>
    <s v="MIU-01481-194"/>
    <x v="574"/>
    <x v="706"/>
    <s v="A-L-0.5"/>
    <n v="2"/>
    <x v="706"/>
    <s v="rpursglovel9@biblegateway.com"/>
    <x v="0"/>
    <x v="2"/>
    <s v="L"/>
    <x v="1"/>
    <n v="7.77"/>
    <n v="15.54"/>
    <x v="2"/>
    <x v="1"/>
    <x v="0"/>
  </r>
  <r>
    <s v="UEA-72681-629"/>
    <x v="455"/>
    <x v="696"/>
    <s v="A-L-2.5"/>
    <n v="3"/>
    <x v="696"/>
    <s v="fconstancekz@ifeng.com"/>
    <x v="0"/>
    <x v="2"/>
    <s v="L"/>
    <x v="2"/>
    <n v="29.784999999999997"/>
    <n v="89.35499999999999"/>
    <x v="2"/>
    <x v="1"/>
    <x v="1"/>
  </r>
  <r>
    <s v="CVE-15042-481"/>
    <x v="575"/>
    <x v="696"/>
    <s v="R-L-1"/>
    <n v="2"/>
    <x v="696"/>
    <s v="fconstancekz@ifeng.com"/>
    <x v="0"/>
    <x v="0"/>
    <s v="L"/>
    <x v="0"/>
    <n v="11.95"/>
    <n v="23.9"/>
    <x v="0"/>
    <x v="1"/>
    <x v="1"/>
  </r>
  <r>
    <s v="EJA-79176-833"/>
    <x v="576"/>
    <x v="707"/>
    <s v="R-M-2.5"/>
    <n v="6"/>
    <x v="707"/>
    <s v="deburahld@google.co.jp"/>
    <x v="2"/>
    <x v="0"/>
    <s v="M"/>
    <x v="2"/>
    <n v="22.884999999999998"/>
    <n v="137.31"/>
    <x v="0"/>
    <x v="0"/>
    <x v="1"/>
  </r>
  <r>
    <s v="AHQ-40440-522"/>
    <x v="577"/>
    <x v="708"/>
    <s v="A-D-1"/>
    <n v="1"/>
    <x v="708"/>
    <s v="mbrimilcombele@cnn.com"/>
    <x v="0"/>
    <x v="2"/>
    <s v="D"/>
    <x v="0"/>
    <n v="9.9499999999999993"/>
    <n v="9.9499999999999993"/>
    <x v="2"/>
    <x v="2"/>
    <x v="1"/>
  </r>
  <r>
    <s v="TID-21626-411"/>
    <x v="578"/>
    <x v="709"/>
    <s v="R-L-0.5"/>
    <n v="3"/>
    <x v="709"/>
    <s v="sbollamlf@list-manage.com"/>
    <x v="0"/>
    <x v="0"/>
    <s v="L"/>
    <x v="1"/>
    <n v="7.169999999999999"/>
    <n v="21.509999999999998"/>
    <x v="0"/>
    <x v="1"/>
    <x v="1"/>
  </r>
  <r>
    <s v="RSR-96390-187"/>
    <x v="579"/>
    <x v="710"/>
    <s v="E-M-1"/>
    <n v="6"/>
    <x v="710"/>
    <s v=""/>
    <x v="0"/>
    <x v="1"/>
    <s v="M"/>
    <x v="0"/>
    <n v="13.75"/>
    <n v="82.5"/>
    <x v="1"/>
    <x v="0"/>
    <x v="1"/>
  </r>
  <r>
    <s v="BZE-96093-118"/>
    <x v="91"/>
    <x v="711"/>
    <s v="L-M-0.2"/>
    <n v="2"/>
    <x v="711"/>
    <s v="afilipczaklh@ning.com"/>
    <x v="1"/>
    <x v="3"/>
    <s v="M"/>
    <x v="3"/>
    <n v="4.3650000000000002"/>
    <n v="8.73"/>
    <x v="3"/>
    <x v="0"/>
    <x v="1"/>
  </r>
  <r>
    <s v="LOU-41819-242"/>
    <x v="272"/>
    <x v="712"/>
    <s v="R-M-1"/>
    <n v="2"/>
    <x v="712"/>
    <s v=""/>
    <x v="0"/>
    <x v="0"/>
    <s v="M"/>
    <x v="0"/>
    <n v="9.9499999999999993"/>
    <n v="19.899999999999999"/>
    <x v="0"/>
    <x v="0"/>
    <x v="0"/>
  </r>
  <r>
    <s v="FND-99527-640"/>
    <x v="65"/>
    <x v="713"/>
    <s v="E-L-0.5"/>
    <n v="2"/>
    <x v="713"/>
    <s v="relnaughlj@comsenz.com"/>
    <x v="0"/>
    <x v="1"/>
    <s v="L"/>
    <x v="1"/>
    <n v="8.91"/>
    <n v="17.82"/>
    <x v="1"/>
    <x v="1"/>
    <x v="0"/>
  </r>
  <r>
    <s v="ASG-27179-958"/>
    <x v="580"/>
    <x v="714"/>
    <s v="A-M-0.5"/>
    <n v="3"/>
    <x v="714"/>
    <s v="jdeehanlk@about.me"/>
    <x v="0"/>
    <x v="2"/>
    <s v="M"/>
    <x v="1"/>
    <n v="6.75"/>
    <n v="20.25"/>
    <x v="2"/>
    <x v="0"/>
    <x v="1"/>
  </r>
  <r>
    <s v="YKX-23510-272"/>
    <x v="581"/>
    <x v="715"/>
    <s v="A-L-2.5"/>
    <n v="2"/>
    <x v="715"/>
    <s v="jedenll@e-recht24.de"/>
    <x v="0"/>
    <x v="2"/>
    <s v="L"/>
    <x v="2"/>
    <n v="29.784999999999997"/>
    <n v="59.569999999999993"/>
    <x v="2"/>
    <x v="1"/>
    <x v="1"/>
  </r>
  <r>
    <s v="FSA-98650-921"/>
    <x v="489"/>
    <x v="716"/>
    <s v="L-L-0.5"/>
    <n v="2"/>
    <x v="716"/>
    <s v="cjewsterlu@moonfruit.com"/>
    <x v="0"/>
    <x v="3"/>
    <s v="L"/>
    <x v="1"/>
    <n v="9.51"/>
    <n v="19.02"/>
    <x v="3"/>
    <x v="1"/>
    <x v="0"/>
  </r>
  <r>
    <s v="ZUR-55774-294"/>
    <x v="234"/>
    <x v="717"/>
    <s v="L-D-1"/>
    <n v="6"/>
    <x v="717"/>
    <s v="usoutherdenln@hao123.com"/>
    <x v="0"/>
    <x v="3"/>
    <s v="D"/>
    <x v="0"/>
    <n v="12.95"/>
    <n v="77.699999999999989"/>
    <x v="3"/>
    <x v="2"/>
    <x v="0"/>
  </r>
  <r>
    <s v="FUO-99821-974"/>
    <x v="175"/>
    <x v="718"/>
    <s v="E-M-1"/>
    <n v="3"/>
    <x v="718"/>
    <s v=""/>
    <x v="0"/>
    <x v="1"/>
    <s v="M"/>
    <x v="0"/>
    <n v="13.75"/>
    <n v="41.25"/>
    <x v="1"/>
    <x v="0"/>
    <x v="1"/>
  </r>
  <r>
    <s v="YVH-19865-819"/>
    <x v="582"/>
    <x v="719"/>
    <s v="L-L-2.5"/>
    <n v="4"/>
    <x v="719"/>
    <s v="lburtenshawlp@shinystat.com"/>
    <x v="0"/>
    <x v="3"/>
    <s v="L"/>
    <x v="2"/>
    <n v="36.454999999999998"/>
    <n v="145.82"/>
    <x v="3"/>
    <x v="1"/>
    <x v="1"/>
  </r>
  <r>
    <s v="NNF-47422-501"/>
    <x v="583"/>
    <x v="720"/>
    <s v="E-L-0.2"/>
    <n v="6"/>
    <x v="720"/>
    <s v="agregorattilq@vistaprint.com"/>
    <x v="1"/>
    <x v="1"/>
    <s v="L"/>
    <x v="3"/>
    <n v="4.4550000000000001"/>
    <n v="26.73"/>
    <x v="1"/>
    <x v="1"/>
    <x v="1"/>
  </r>
  <r>
    <s v="RJI-71409-490"/>
    <x v="548"/>
    <x v="721"/>
    <s v="L-M-0.5"/>
    <n v="5"/>
    <x v="721"/>
    <s v="ccrosterlr@gov.uk"/>
    <x v="0"/>
    <x v="3"/>
    <s v="M"/>
    <x v="1"/>
    <n v="8.73"/>
    <n v="43.650000000000006"/>
    <x v="3"/>
    <x v="0"/>
    <x v="0"/>
  </r>
  <r>
    <s v="UZL-46108-213"/>
    <x v="584"/>
    <x v="722"/>
    <s v="L-L-1"/>
    <n v="2"/>
    <x v="722"/>
    <s v="gwhiteheadls@hp.com"/>
    <x v="0"/>
    <x v="3"/>
    <s v="L"/>
    <x v="0"/>
    <n v="15.85"/>
    <n v="31.7"/>
    <x v="3"/>
    <x v="1"/>
    <x v="1"/>
  </r>
  <r>
    <s v="AOX-44467-109"/>
    <x v="64"/>
    <x v="723"/>
    <s v="A-D-2.5"/>
    <n v="1"/>
    <x v="723"/>
    <s v="hjodrellelt@samsung.com"/>
    <x v="0"/>
    <x v="2"/>
    <s v="D"/>
    <x v="2"/>
    <n v="22.884999999999998"/>
    <n v="22.884999999999998"/>
    <x v="2"/>
    <x v="2"/>
    <x v="1"/>
  </r>
  <r>
    <s v="TZD-67261-174"/>
    <x v="585"/>
    <x v="716"/>
    <s v="E-D-2.5"/>
    <n v="1"/>
    <x v="716"/>
    <s v="cjewsterlu@moonfruit.com"/>
    <x v="0"/>
    <x v="1"/>
    <s v="D"/>
    <x v="2"/>
    <n v="27.945"/>
    <n v="27.945"/>
    <x v="1"/>
    <x v="2"/>
    <x v="0"/>
  </r>
  <r>
    <s v="TBU-64277-625"/>
    <x v="32"/>
    <x v="724"/>
    <s v="E-M-1"/>
    <n v="6"/>
    <x v="724"/>
    <s v=""/>
    <x v="0"/>
    <x v="1"/>
    <s v="M"/>
    <x v="0"/>
    <n v="13.75"/>
    <n v="82.5"/>
    <x v="1"/>
    <x v="0"/>
    <x v="0"/>
  </r>
  <r>
    <s v="TYP-85767-944"/>
    <x v="586"/>
    <x v="725"/>
    <s v="R-M-2.5"/>
    <n v="2"/>
    <x v="725"/>
    <s v="knottramlw@odnoklassniki.ru"/>
    <x v="1"/>
    <x v="0"/>
    <s v="M"/>
    <x v="2"/>
    <n v="22.884999999999998"/>
    <n v="45.769999999999996"/>
    <x v="0"/>
    <x v="0"/>
    <x v="0"/>
  </r>
  <r>
    <s v="GTT-73214-334"/>
    <x v="535"/>
    <x v="726"/>
    <s v="A-L-1"/>
    <n v="6"/>
    <x v="726"/>
    <s v="nbuneylx@jugem.jp"/>
    <x v="0"/>
    <x v="2"/>
    <s v="L"/>
    <x v="0"/>
    <n v="12.95"/>
    <n v="77.699999999999989"/>
    <x v="2"/>
    <x v="1"/>
    <x v="1"/>
  </r>
  <r>
    <s v="WAI-89905-069"/>
    <x v="587"/>
    <x v="727"/>
    <s v="A-L-0.5"/>
    <n v="3"/>
    <x v="727"/>
    <s v="smcshealy@photobucket.com"/>
    <x v="0"/>
    <x v="2"/>
    <s v="L"/>
    <x v="1"/>
    <n v="7.77"/>
    <n v="23.31"/>
    <x v="2"/>
    <x v="1"/>
    <x v="1"/>
  </r>
  <r>
    <s v="OJL-96844-459"/>
    <x v="393"/>
    <x v="728"/>
    <s v="L-L-0.2"/>
    <n v="5"/>
    <x v="728"/>
    <s v="khuddartlz@about.com"/>
    <x v="0"/>
    <x v="3"/>
    <s v="L"/>
    <x v="3"/>
    <n v="4.7549999999999999"/>
    <n v="23.774999999999999"/>
    <x v="3"/>
    <x v="1"/>
    <x v="0"/>
  </r>
  <r>
    <s v="VGI-33205-360"/>
    <x v="588"/>
    <x v="729"/>
    <s v="L-M-0.5"/>
    <n v="6"/>
    <x v="729"/>
    <s v="jgippesm0@cloudflare.com"/>
    <x v="2"/>
    <x v="3"/>
    <s v="M"/>
    <x v="1"/>
    <n v="8.73"/>
    <n v="52.38"/>
    <x v="3"/>
    <x v="0"/>
    <x v="0"/>
  </r>
  <r>
    <s v="PCA-14081-576"/>
    <x v="15"/>
    <x v="730"/>
    <s v="R-L-0.2"/>
    <n v="5"/>
    <x v="730"/>
    <s v="lwhittleseem1@e-recht24.de"/>
    <x v="0"/>
    <x v="0"/>
    <s v="L"/>
    <x v="3"/>
    <n v="3.5849999999999995"/>
    <n v="17.924999999999997"/>
    <x v="0"/>
    <x v="1"/>
    <x v="1"/>
  </r>
  <r>
    <s v="SCS-67069-962"/>
    <x v="507"/>
    <x v="731"/>
    <s v="A-L-2.5"/>
    <n v="5"/>
    <x v="731"/>
    <s v="gtrengrovem2@elpais.com"/>
    <x v="0"/>
    <x v="2"/>
    <s v="L"/>
    <x v="2"/>
    <n v="29.784999999999997"/>
    <n v="148.92499999999998"/>
    <x v="2"/>
    <x v="1"/>
    <x v="1"/>
  </r>
  <r>
    <s v="BDM-03174-485"/>
    <x v="533"/>
    <x v="732"/>
    <s v="R-L-0.5"/>
    <n v="4"/>
    <x v="732"/>
    <s v="wcalderom3@stumbleupon.com"/>
    <x v="0"/>
    <x v="0"/>
    <s v="L"/>
    <x v="1"/>
    <n v="7.169999999999999"/>
    <n v="28.679999999999996"/>
    <x v="0"/>
    <x v="1"/>
    <x v="1"/>
  </r>
  <r>
    <s v="UJV-32333-364"/>
    <x v="589"/>
    <x v="733"/>
    <s v="L-L-0.5"/>
    <n v="1"/>
    <x v="733"/>
    <s v=""/>
    <x v="0"/>
    <x v="3"/>
    <s v="L"/>
    <x v="1"/>
    <n v="9.51"/>
    <n v="9.51"/>
    <x v="3"/>
    <x v="1"/>
    <x v="1"/>
  </r>
  <r>
    <s v="FLI-11493-954"/>
    <x v="590"/>
    <x v="734"/>
    <s v="A-L-0.5"/>
    <n v="4"/>
    <x v="734"/>
    <s v="jkennicottm5@yahoo.co.jp"/>
    <x v="0"/>
    <x v="2"/>
    <s v="L"/>
    <x v="1"/>
    <n v="7.77"/>
    <n v="31.08"/>
    <x v="2"/>
    <x v="1"/>
    <x v="1"/>
  </r>
  <r>
    <s v="IWL-13117-537"/>
    <x v="457"/>
    <x v="735"/>
    <s v="R-D-0.2"/>
    <n v="3"/>
    <x v="735"/>
    <s v="gruggenm6@nymag.com"/>
    <x v="0"/>
    <x v="0"/>
    <s v="D"/>
    <x v="3"/>
    <n v="2.6849999999999996"/>
    <n v="8.0549999999999997"/>
    <x v="0"/>
    <x v="2"/>
    <x v="0"/>
  </r>
  <r>
    <s v="OAM-76916-748"/>
    <x v="591"/>
    <x v="736"/>
    <s v="E-D-1"/>
    <n v="3"/>
    <x v="736"/>
    <s v=""/>
    <x v="0"/>
    <x v="1"/>
    <s v="D"/>
    <x v="0"/>
    <n v="12.15"/>
    <n v="36.450000000000003"/>
    <x v="1"/>
    <x v="2"/>
    <x v="0"/>
  </r>
  <r>
    <s v="UMB-11223-710"/>
    <x v="592"/>
    <x v="737"/>
    <s v="R-D-0.2"/>
    <n v="6"/>
    <x v="737"/>
    <s v="mfrightm8@harvard.edu"/>
    <x v="1"/>
    <x v="0"/>
    <s v="D"/>
    <x v="3"/>
    <n v="2.6849999999999996"/>
    <n v="16.11"/>
    <x v="0"/>
    <x v="2"/>
    <x v="1"/>
  </r>
  <r>
    <s v="LXR-09892-726"/>
    <x v="402"/>
    <x v="738"/>
    <s v="R-D-2.5"/>
    <n v="2"/>
    <x v="738"/>
    <s v="btartem9@aol.com"/>
    <x v="0"/>
    <x v="0"/>
    <s v="D"/>
    <x v="2"/>
    <n v="20.584999999999997"/>
    <n v="41.169999999999995"/>
    <x v="0"/>
    <x v="2"/>
    <x v="0"/>
  </r>
  <r>
    <s v="QXX-89943-393"/>
    <x v="593"/>
    <x v="739"/>
    <s v="R-D-0.2"/>
    <n v="4"/>
    <x v="739"/>
    <s v="ckrzysztofiakma@skyrock.com"/>
    <x v="0"/>
    <x v="0"/>
    <s v="D"/>
    <x v="3"/>
    <n v="2.6849999999999996"/>
    <n v="10.739999999999998"/>
    <x v="0"/>
    <x v="2"/>
    <x v="1"/>
  </r>
  <r>
    <s v="WVS-57822-366"/>
    <x v="594"/>
    <x v="740"/>
    <s v="E-M-2.5"/>
    <n v="4"/>
    <x v="740"/>
    <s v="dpenquetmb@diigo.com"/>
    <x v="0"/>
    <x v="1"/>
    <s v="M"/>
    <x v="2"/>
    <n v="31.624999999999996"/>
    <n v="126.49999999999999"/>
    <x v="1"/>
    <x v="0"/>
    <x v="1"/>
  </r>
  <r>
    <s v="CLJ-23403-689"/>
    <x v="77"/>
    <x v="741"/>
    <s v="R-L-1"/>
    <n v="2"/>
    <x v="741"/>
    <s v=""/>
    <x v="2"/>
    <x v="0"/>
    <s v="L"/>
    <x v="0"/>
    <n v="11.95"/>
    <n v="23.9"/>
    <x v="0"/>
    <x v="1"/>
    <x v="1"/>
  </r>
  <r>
    <s v="XNU-83276-288"/>
    <x v="595"/>
    <x v="742"/>
    <s v="R-M-0.5"/>
    <n v="1"/>
    <x v="742"/>
    <s v=""/>
    <x v="0"/>
    <x v="0"/>
    <s v="M"/>
    <x v="1"/>
    <n v="5.97"/>
    <n v="5.97"/>
    <x v="0"/>
    <x v="0"/>
    <x v="1"/>
  </r>
  <r>
    <s v="YOG-94666-679"/>
    <x v="596"/>
    <x v="743"/>
    <s v="L-D-0.2"/>
    <n v="2"/>
    <x v="743"/>
    <s v=""/>
    <x v="2"/>
    <x v="3"/>
    <s v="D"/>
    <x v="3"/>
    <n v="3.8849999999999998"/>
    <n v="7.77"/>
    <x v="3"/>
    <x v="2"/>
    <x v="0"/>
  </r>
  <r>
    <s v="KHG-33953-115"/>
    <x v="514"/>
    <x v="744"/>
    <s v="L-D-0.5"/>
    <n v="3"/>
    <x v="744"/>
    <s v="kferrettimf@huffingtonpost.com"/>
    <x v="1"/>
    <x v="3"/>
    <s v="D"/>
    <x v="1"/>
    <n v="7.77"/>
    <n v="23.31"/>
    <x v="3"/>
    <x v="2"/>
    <x v="1"/>
  </r>
  <r>
    <s v="MHD-95615-696"/>
    <x v="54"/>
    <x v="745"/>
    <s v="R-L-2.5"/>
    <n v="5"/>
    <x v="745"/>
    <s v=""/>
    <x v="0"/>
    <x v="0"/>
    <s v="L"/>
    <x v="2"/>
    <n v="27.484999999999996"/>
    <n v="137.42499999999998"/>
    <x v="0"/>
    <x v="1"/>
    <x v="1"/>
  </r>
  <r>
    <s v="HBH-64794-080"/>
    <x v="597"/>
    <x v="746"/>
    <s v="R-D-0.2"/>
    <n v="3"/>
    <x v="746"/>
    <s v=""/>
    <x v="0"/>
    <x v="0"/>
    <s v="D"/>
    <x v="3"/>
    <n v="2.6849999999999996"/>
    <n v="8.0549999999999997"/>
    <x v="0"/>
    <x v="2"/>
    <x v="0"/>
  </r>
  <r>
    <s v="CNJ-56058-223"/>
    <x v="105"/>
    <x v="747"/>
    <s v="L-L-0.5"/>
    <n v="3"/>
    <x v="747"/>
    <s v="abalsdonemi@toplist.cz"/>
    <x v="0"/>
    <x v="3"/>
    <s v="L"/>
    <x v="1"/>
    <n v="9.51"/>
    <n v="28.53"/>
    <x v="3"/>
    <x v="1"/>
    <x v="1"/>
  </r>
  <r>
    <s v="KHO-27106-786"/>
    <x v="210"/>
    <x v="748"/>
    <s v="A-M-1"/>
    <n v="6"/>
    <x v="748"/>
    <s v="bromeramj@list-manage.com"/>
    <x v="1"/>
    <x v="2"/>
    <s v="M"/>
    <x v="0"/>
    <n v="11.25"/>
    <n v="67.5"/>
    <x v="2"/>
    <x v="0"/>
    <x v="0"/>
  </r>
  <r>
    <s v="KHO-27106-786"/>
    <x v="210"/>
    <x v="748"/>
    <s v="L-D-2.5"/>
    <n v="6"/>
    <x v="748"/>
    <s v="bromeramj@list-manage.com"/>
    <x v="1"/>
    <x v="3"/>
    <s v="D"/>
    <x v="2"/>
    <n v="29.784999999999997"/>
    <n v="178.70999999999998"/>
    <x v="3"/>
    <x v="2"/>
    <x v="0"/>
  </r>
  <r>
    <s v="YAC-50329-982"/>
    <x v="598"/>
    <x v="749"/>
    <s v="E-M-2.5"/>
    <n v="1"/>
    <x v="749"/>
    <s v="cbrydeml@tuttocitta.it"/>
    <x v="0"/>
    <x v="1"/>
    <s v="M"/>
    <x v="2"/>
    <n v="31.624999999999996"/>
    <n v="31.624999999999996"/>
    <x v="1"/>
    <x v="0"/>
    <x v="0"/>
  </r>
  <r>
    <s v="VVL-95291-039"/>
    <x v="360"/>
    <x v="750"/>
    <s v="E-L-0.2"/>
    <n v="2"/>
    <x v="750"/>
    <s v="senefermm@blog.com"/>
    <x v="0"/>
    <x v="1"/>
    <s v="L"/>
    <x v="3"/>
    <n v="4.4550000000000001"/>
    <n v="8.91"/>
    <x v="1"/>
    <x v="1"/>
    <x v="1"/>
  </r>
  <r>
    <s v="VUT-20974-364"/>
    <x v="62"/>
    <x v="751"/>
    <s v="R-M-0.5"/>
    <n v="6"/>
    <x v="751"/>
    <s v="lhaggerstonemn@independent.co.uk"/>
    <x v="0"/>
    <x v="0"/>
    <s v="M"/>
    <x v="1"/>
    <n v="5.97"/>
    <n v="35.82"/>
    <x v="0"/>
    <x v="0"/>
    <x v="1"/>
  </r>
  <r>
    <s v="SFC-34054-213"/>
    <x v="599"/>
    <x v="752"/>
    <s v="L-L-0.5"/>
    <n v="4"/>
    <x v="752"/>
    <s v="mgundrymo@omniture.com"/>
    <x v="1"/>
    <x v="3"/>
    <s v="L"/>
    <x v="1"/>
    <n v="9.51"/>
    <n v="38.04"/>
    <x v="3"/>
    <x v="1"/>
    <x v="1"/>
  </r>
  <r>
    <s v="UDS-04807-593"/>
    <x v="600"/>
    <x v="753"/>
    <s v="L-D-0.5"/>
    <n v="2"/>
    <x v="753"/>
    <s v="bwellanmp@cafepress.com"/>
    <x v="0"/>
    <x v="3"/>
    <s v="D"/>
    <x v="1"/>
    <n v="7.77"/>
    <n v="15.54"/>
    <x v="3"/>
    <x v="2"/>
    <x v="1"/>
  </r>
  <r>
    <s v="FWE-98471-488"/>
    <x v="601"/>
    <x v="745"/>
    <s v="L-L-1"/>
    <n v="5"/>
    <x v="745"/>
    <s v=""/>
    <x v="0"/>
    <x v="3"/>
    <s v="L"/>
    <x v="0"/>
    <n v="15.85"/>
    <n v="79.25"/>
    <x v="3"/>
    <x v="1"/>
    <x v="1"/>
  </r>
  <r>
    <s v="RAU-17060-674"/>
    <x v="602"/>
    <x v="754"/>
    <s v="L-L-0.2"/>
    <n v="1"/>
    <x v="754"/>
    <s v="catchesonmr@xinhuanet.com"/>
    <x v="0"/>
    <x v="3"/>
    <s v="L"/>
    <x v="3"/>
    <n v="4.7549999999999999"/>
    <n v="4.7549999999999999"/>
    <x v="3"/>
    <x v="1"/>
    <x v="0"/>
  </r>
  <r>
    <s v="AOL-13866-711"/>
    <x v="603"/>
    <x v="755"/>
    <s v="E-M-1"/>
    <n v="4"/>
    <x v="755"/>
    <s v="estentonms@google.it"/>
    <x v="0"/>
    <x v="1"/>
    <s v="M"/>
    <x v="0"/>
    <n v="13.75"/>
    <n v="55"/>
    <x v="1"/>
    <x v="0"/>
    <x v="0"/>
  </r>
  <r>
    <s v="NOA-79645-377"/>
    <x v="604"/>
    <x v="756"/>
    <s v="R-D-0.5"/>
    <n v="5"/>
    <x v="756"/>
    <s v="etrippmt@wp.com"/>
    <x v="0"/>
    <x v="0"/>
    <s v="D"/>
    <x v="1"/>
    <n v="5.3699999999999992"/>
    <n v="26.849999999999994"/>
    <x v="0"/>
    <x v="2"/>
    <x v="1"/>
  </r>
  <r>
    <s v="KMS-49214-806"/>
    <x v="605"/>
    <x v="757"/>
    <s v="E-L-2.5"/>
    <n v="4"/>
    <x v="757"/>
    <s v="lmacmanusmu@imdb.com"/>
    <x v="0"/>
    <x v="1"/>
    <s v="L"/>
    <x v="2"/>
    <n v="34.154999999999994"/>
    <n v="136.61999999999998"/>
    <x v="1"/>
    <x v="1"/>
    <x v="1"/>
  </r>
  <r>
    <s v="ABK-08091-531"/>
    <x v="606"/>
    <x v="758"/>
    <s v="L-L-1"/>
    <n v="3"/>
    <x v="758"/>
    <s v="tbenediktovichmv@ebay.com"/>
    <x v="0"/>
    <x v="3"/>
    <s v="L"/>
    <x v="0"/>
    <n v="15.85"/>
    <n v="47.55"/>
    <x v="3"/>
    <x v="1"/>
    <x v="0"/>
  </r>
  <r>
    <s v="GPT-67705-953"/>
    <x v="446"/>
    <x v="759"/>
    <s v="A-M-0.2"/>
    <n v="5"/>
    <x v="759"/>
    <s v="cbournermw@chronoengine.com"/>
    <x v="0"/>
    <x v="2"/>
    <s v="M"/>
    <x v="3"/>
    <n v="3.375"/>
    <n v="16.875"/>
    <x v="2"/>
    <x v="0"/>
    <x v="0"/>
  </r>
  <r>
    <s v="JNA-21450-177"/>
    <x v="18"/>
    <x v="760"/>
    <s v="A-D-1"/>
    <n v="3"/>
    <x v="760"/>
    <s v="oskermen3@hatena.ne.jp"/>
    <x v="0"/>
    <x v="2"/>
    <s v="D"/>
    <x v="0"/>
    <n v="9.9499999999999993"/>
    <n v="29.849999999999998"/>
    <x v="2"/>
    <x v="2"/>
    <x v="0"/>
  </r>
  <r>
    <s v="MPQ-23421-608"/>
    <x v="180"/>
    <x v="761"/>
    <s v="E-M-0.5"/>
    <n v="5"/>
    <x v="761"/>
    <s v="kheddanmy@icq.com"/>
    <x v="0"/>
    <x v="1"/>
    <s v="M"/>
    <x v="1"/>
    <n v="8.25"/>
    <n v="41.25"/>
    <x v="1"/>
    <x v="0"/>
    <x v="0"/>
  </r>
  <r>
    <s v="NLI-63891-565"/>
    <x v="580"/>
    <x v="762"/>
    <s v="E-M-0.2"/>
    <n v="5"/>
    <x v="762"/>
    <s v="ichartersmz@abc.net.au"/>
    <x v="0"/>
    <x v="1"/>
    <s v="M"/>
    <x v="3"/>
    <n v="4.125"/>
    <n v="20.625"/>
    <x v="1"/>
    <x v="0"/>
    <x v="1"/>
  </r>
  <r>
    <s v="HHF-36647-854"/>
    <x v="453"/>
    <x v="763"/>
    <s v="A-D-2.5"/>
    <n v="6"/>
    <x v="763"/>
    <s v="aroubertn0@tmall.com"/>
    <x v="0"/>
    <x v="2"/>
    <s v="D"/>
    <x v="2"/>
    <n v="22.884999999999998"/>
    <n v="137.31"/>
    <x v="2"/>
    <x v="2"/>
    <x v="0"/>
  </r>
  <r>
    <s v="SBN-16537-046"/>
    <x v="259"/>
    <x v="764"/>
    <s v="A-D-0.2"/>
    <n v="1"/>
    <x v="764"/>
    <s v="hmairsn1@so-net.ne.jp"/>
    <x v="0"/>
    <x v="2"/>
    <s v="D"/>
    <x v="3"/>
    <n v="2.9849999999999999"/>
    <n v="2.9849999999999999"/>
    <x v="2"/>
    <x v="2"/>
    <x v="1"/>
  </r>
  <r>
    <s v="XZD-44484-632"/>
    <x v="607"/>
    <x v="765"/>
    <s v="E-M-1"/>
    <n v="2"/>
    <x v="765"/>
    <s v="hrainforthn2@blog.com"/>
    <x v="0"/>
    <x v="1"/>
    <s v="M"/>
    <x v="0"/>
    <n v="13.75"/>
    <n v="27.5"/>
    <x v="1"/>
    <x v="0"/>
    <x v="1"/>
  </r>
  <r>
    <s v="XZD-44484-632"/>
    <x v="607"/>
    <x v="765"/>
    <s v="A-D-0.2"/>
    <n v="2"/>
    <x v="765"/>
    <s v="hrainforthn2@blog.com"/>
    <x v="0"/>
    <x v="2"/>
    <s v="D"/>
    <x v="3"/>
    <n v="2.9849999999999999"/>
    <n v="5.97"/>
    <x v="2"/>
    <x v="2"/>
    <x v="1"/>
  </r>
  <r>
    <s v="IKQ-39946-768"/>
    <x v="385"/>
    <x v="766"/>
    <s v="R-M-1"/>
    <n v="6"/>
    <x v="766"/>
    <s v="ijespern4@theglobeandmail.com"/>
    <x v="0"/>
    <x v="0"/>
    <s v="M"/>
    <x v="0"/>
    <n v="9.9499999999999993"/>
    <n v="59.699999999999996"/>
    <x v="0"/>
    <x v="0"/>
    <x v="1"/>
  </r>
  <r>
    <s v="KMB-95211-174"/>
    <x v="608"/>
    <x v="767"/>
    <s v="R-D-2.5"/>
    <n v="4"/>
    <x v="767"/>
    <s v="ldwerryhousen5@gravatar.com"/>
    <x v="0"/>
    <x v="0"/>
    <s v="D"/>
    <x v="2"/>
    <n v="20.584999999999997"/>
    <n v="82.339999999999989"/>
    <x v="0"/>
    <x v="2"/>
    <x v="0"/>
  </r>
  <r>
    <s v="QWY-99467-368"/>
    <x v="609"/>
    <x v="768"/>
    <s v="A-D-2.5"/>
    <n v="1"/>
    <x v="768"/>
    <s v="nbroomern6@examiner.com"/>
    <x v="0"/>
    <x v="2"/>
    <s v="D"/>
    <x v="2"/>
    <n v="22.884999999999998"/>
    <n v="22.884999999999998"/>
    <x v="2"/>
    <x v="2"/>
    <x v="1"/>
  </r>
  <r>
    <s v="SRG-76791-614"/>
    <x v="147"/>
    <x v="769"/>
    <s v="E-L-0.5"/>
    <n v="1"/>
    <x v="769"/>
    <s v="kthoumassonn7@bloglovin.com"/>
    <x v="0"/>
    <x v="1"/>
    <s v="L"/>
    <x v="1"/>
    <n v="8.91"/>
    <n v="8.91"/>
    <x v="1"/>
    <x v="1"/>
    <x v="0"/>
  </r>
  <r>
    <s v="VSN-94485-621"/>
    <x v="172"/>
    <x v="770"/>
    <s v="A-D-0.2"/>
    <n v="4"/>
    <x v="770"/>
    <s v="fhabberghamn8@discovery.com"/>
    <x v="0"/>
    <x v="2"/>
    <s v="D"/>
    <x v="3"/>
    <n v="2.9849999999999999"/>
    <n v="11.94"/>
    <x v="2"/>
    <x v="2"/>
    <x v="1"/>
  </r>
  <r>
    <s v="UFZ-24348-219"/>
    <x v="610"/>
    <x v="745"/>
    <s v="L-M-2.5"/>
    <n v="3"/>
    <x v="745"/>
    <s v=""/>
    <x v="0"/>
    <x v="3"/>
    <s v="M"/>
    <x v="2"/>
    <n v="33.464999999999996"/>
    <n v="100.39499999999998"/>
    <x v="3"/>
    <x v="0"/>
    <x v="1"/>
  </r>
  <r>
    <s v="UKS-93055-397"/>
    <x v="611"/>
    <x v="771"/>
    <s v="A-D-2.5"/>
    <n v="5"/>
    <x v="771"/>
    <s v="ravrashinna@tamu.edu"/>
    <x v="0"/>
    <x v="2"/>
    <s v="D"/>
    <x v="2"/>
    <n v="22.884999999999998"/>
    <n v="114.42499999999998"/>
    <x v="2"/>
    <x v="2"/>
    <x v="1"/>
  </r>
  <r>
    <s v="AVH-56062-335"/>
    <x v="612"/>
    <x v="772"/>
    <s v="E-M-0.5"/>
    <n v="5"/>
    <x v="772"/>
    <s v="mdoidgenb@etsy.com"/>
    <x v="0"/>
    <x v="1"/>
    <s v="M"/>
    <x v="1"/>
    <n v="8.25"/>
    <n v="41.25"/>
    <x v="1"/>
    <x v="0"/>
    <x v="1"/>
  </r>
  <r>
    <s v="HGE-19842-613"/>
    <x v="613"/>
    <x v="773"/>
    <s v="R-L-0.5"/>
    <n v="4"/>
    <x v="773"/>
    <s v="jedinboronc@reverbnation.com"/>
    <x v="0"/>
    <x v="0"/>
    <s v="L"/>
    <x v="1"/>
    <n v="7.169999999999999"/>
    <n v="28.679999999999996"/>
    <x v="0"/>
    <x v="1"/>
    <x v="0"/>
  </r>
  <r>
    <s v="WBA-85905-175"/>
    <x v="611"/>
    <x v="774"/>
    <s v="L-M-0.2"/>
    <n v="1"/>
    <x v="774"/>
    <s v="ttewelsonnd@cdbaby.com"/>
    <x v="0"/>
    <x v="3"/>
    <s v="M"/>
    <x v="3"/>
    <n v="4.3650000000000002"/>
    <n v="4.3650000000000002"/>
    <x v="3"/>
    <x v="0"/>
    <x v="1"/>
  </r>
  <r>
    <s v="DZI-35365-596"/>
    <x v="493"/>
    <x v="760"/>
    <s v="E-M-0.2"/>
    <n v="2"/>
    <x v="760"/>
    <s v="oskermen3@hatena.ne.jp"/>
    <x v="0"/>
    <x v="1"/>
    <s v="M"/>
    <x v="3"/>
    <n v="4.125"/>
    <n v="8.25"/>
    <x v="1"/>
    <x v="0"/>
    <x v="0"/>
  </r>
  <r>
    <s v="XIR-88982-743"/>
    <x v="614"/>
    <x v="775"/>
    <s v="E-M-0.2"/>
    <n v="2"/>
    <x v="775"/>
    <s v="ddrewittnf@mapquest.com"/>
    <x v="0"/>
    <x v="1"/>
    <s v="M"/>
    <x v="3"/>
    <n v="4.125"/>
    <n v="8.25"/>
    <x v="1"/>
    <x v="0"/>
    <x v="0"/>
  </r>
  <r>
    <s v="VUC-72395-865"/>
    <x v="151"/>
    <x v="776"/>
    <s v="A-D-0.5"/>
    <n v="6"/>
    <x v="776"/>
    <s v="agladhillng@stanford.edu"/>
    <x v="0"/>
    <x v="2"/>
    <s v="D"/>
    <x v="1"/>
    <n v="5.97"/>
    <n v="35.82"/>
    <x v="2"/>
    <x v="2"/>
    <x v="0"/>
  </r>
  <r>
    <s v="BQJ-44755-910"/>
    <x v="489"/>
    <x v="777"/>
    <s v="E-D-2.5"/>
    <n v="6"/>
    <x v="777"/>
    <s v="mlorineznh@whitehouse.gov"/>
    <x v="0"/>
    <x v="1"/>
    <s v="D"/>
    <x v="2"/>
    <n v="27.945"/>
    <n v="167.67000000000002"/>
    <x v="1"/>
    <x v="2"/>
    <x v="1"/>
  </r>
  <r>
    <s v="JKC-64636-831"/>
    <x v="615"/>
    <x v="778"/>
    <s v="A-M-2.5"/>
    <n v="2"/>
    <x v="778"/>
    <s v=""/>
    <x v="0"/>
    <x v="2"/>
    <s v="M"/>
    <x v="2"/>
    <n v="25.874999999999996"/>
    <n v="51.749999999999993"/>
    <x v="2"/>
    <x v="0"/>
    <x v="0"/>
  </r>
  <r>
    <s v="ZKI-78561-066"/>
    <x v="616"/>
    <x v="779"/>
    <s v="A-D-0.2"/>
    <n v="3"/>
    <x v="779"/>
    <s v="mvannj@wikipedia.org"/>
    <x v="0"/>
    <x v="2"/>
    <s v="D"/>
    <x v="3"/>
    <n v="2.9849999999999999"/>
    <n v="8.9550000000000001"/>
    <x v="2"/>
    <x v="2"/>
    <x v="0"/>
  </r>
  <r>
    <s v="IMP-12563-728"/>
    <x v="578"/>
    <x v="780"/>
    <s v="E-L-0.5"/>
    <n v="6"/>
    <x v="780"/>
    <s v=""/>
    <x v="0"/>
    <x v="1"/>
    <s v="L"/>
    <x v="1"/>
    <n v="8.91"/>
    <n v="53.46"/>
    <x v="1"/>
    <x v="1"/>
    <x v="1"/>
  </r>
  <r>
    <s v="MZL-81126-390"/>
    <x v="617"/>
    <x v="781"/>
    <s v="A-L-0.2"/>
    <n v="6"/>
    <x v="781"/>
    <s v="jethelstonnl@creativecommons.org"/>
    <x v="0"/>
    <x v="2"/>
    <s v="L"/>
    <x v="3"/>
    <n v="3.8849999999999998"/>
    <n v="23.31"/>
    <x v="2"/>
    <x v="1"/>
    <x v="0"/>
  </r>
  <r>
    <s v="MZL-81126-390"/>
    <x v="617"/>
    <x v="781"/>
    <s v="A-M-0.2"/>
    <n v="2"/>
    <x v="781"/>
    <s v="jethelstonnl@creativecommons.org"/>
    <x v="0"/>
    <x v="2"/>
    <s v="M"/>
    <x v="3"/>
    <n v="3.375"/>
    <n v="6.75"/>
    <x v="2"/>
    <x v="0"/>
    <x v="0"/>
  </r>
  <r>
    <s v="TVF-57766-608"/>
    <x v="155"/>
    <x v="782"/>
    <s v="L-D-0.5"/>
    <n v="1"/>
    <x v="782"/>
    <s v="peberznn@woothemes.com"/>
    <x v="0"/>
    <x v="3"/>
    <s v="D"/>
    <x v="1"/>
    <n v="7.77"/>
    <n v="7.77"/>
    <x v="3"/>
    <x v="2"/>
    <x v="0"/>
  </r>
  <r>
    <s v="RUX-37995-892"/>
    <x v="461"/>
    <x v="783"/>
    <s v="L-D-2.5"/>
    <n v="4"/>
    <x v="783"/>
    <s v="bgaishno@altervista.org"/>
    <x v="0"/>
    <x v="3"/>
    <s v="D"/>
    <x v="2"/>
    <n v="29.784999999999997"/>
    <n v="119.13999999999999"/>
    <x v="3"/>
    <x v="2"/>
    <x v="0"/>
  </r>
  <r>
    <s v="AVK-76526-953"/>
    <x v="87"/>
    <x v="784"/>
    <s v="A-D-1"/>
    <n v="2"/>
    <x v="784"/>
    <s v="ldantonnp@miitbeian.gov.cn"/>
    <x v="0"/>
    <x v="2"/>
    <s v="D"/>
    <x v="0"/>
    <n v="9.9499999999999993"/>
    <n v="19.899999999999999"/>
    <x v="2"/>
    <x v="2"/>
    <x v="1"/>
  </r>
  <r>
    <s v="RIU-02231-623"/>
    <x v="618"/>
    <x v="785"/>
    <s v="R-L-0.5"/>
    <n v="5"/>
    <x v="785"/>
    <s v="smorrallnq@answers.com"/>
    <x v="0"/>
    <x v="0"/>
    <s v="L"/>
    <x v="1"/>
    <n v="7.169999999999999"/>
    <n v="35.849999999999994"/>
    <x v="0"/>
    <x v="1"/>
    <x v="0"/>
  </r>
  <r>
    <s v="WFK-99317-827"/>
    <x v="619"/>
    <x v="786"/>
    <s v="L-D-2.5"/>
    <n v="3"/>
    <x v="786"/>
    <s v="dcrownshawnr@photobucket.com"/>
    <x v="0"/>
    <x v="3"/>
    <s v="D"/>
    <x v="2"/>
    <n v="29.784999999999997"/>
    <n v="89.35499999999999"/>
    <x v="3"/>
    <x v="2"/>
    <x v="1"/>
  </r>
  <r>
    <s v="SFD-00372-284"/>
    <x v="440"/>
    <x v="760"/>
    <s v="L-M-0.2"/>
    <n v="2"/>
    <x v="760"/>
    <s v="oskermen3@hatena.ne.jp"/>
    <x v="0"/>
    <x v="3"/>
    <s v="M"/>
    <x v="3"/>
    <n v="4.3650000000000002"/>
    <n v="8.73"/>
    <x v="3"/>
    <x v="0"/>
    <x v="0"/>
  </r>
  <r>
    <s v="SXC-62166-515"/>
    <x v="489"/>
    <x v="787"/>
    <s v="R-L-2.5"/>
    <n v="5"/>
    <x v="787"/>
    <s v="jreddochnt@sun.com"/>
    <x v="0"/>
    <x v="0"/>
    <s v="L"/>
    <x v="2"/>
    <n v="27.484999999999996"/>
    <n v="137.42499999999998"/>
    <x v="0"/>
    <x v="1"/>
    <x v="1"/>
  </r>
  <r>
    <s v="YIE-87008-621"/>
    <x v="620"/>
    <x v="788"/>
    <s v="L-M-0.5"/>
    <n v="4"/>
    <x v="788"/>
    <s v="stitleynu@whitehouse.gov"/>
    <x v="0"/>
    <x v="3"/>
    <s v="M"/>
    <x v="1"/>
    <n v="8.73"/>
    <n v="34.92"/>
    <x v="3"/>
    <x v="0"/>
    <x v="1"/>
  </r>
  <r>
    <s v="HRM-94548-288"/>
    <x v="621"/>
    <x v="789"/>
    <s v="A-L-2.5"/>
    <n v="6"/>
    <x v="789"/>
    <s v="rsimaonv@simplemachines.org"/>
    <x v="0"/>
    <x v="2"/>
    <s v="L"/>
    <x v="2"/>
    <n v="29.784999999999997"/>
    <n v="178.70999999999998"/>
    <x v="2"/>
    <x v="1"/>
    <x v="1"/>
  </r>
  <r>
    <s v="UJG-34731-295"/>
    <x v="374"/>
    <x v="790"/>
    <s v="A-M-2.5"/>
    <n v="1"/>
    <x v="790"/>
    <s v=""/>
    <x v="0"/>
    <x v="2"/>
    <s v="M"/>
    <x v="2"/>
    <n v="25.874999999999996"/>
    <n v="25.874999999999996"/>
    <x v="2"/>
    <x v="0"/>
    <x v="1"/>
  </r>
  <r>
    <s v="TWD-70988-853"/>
    <x v="345"/>
    <x v="791"/>
    <s v="L-D-1"/>
    <n v="6"/>
    <x v="791"/>
    <s v="nchisholmnx@example.com"/>
    <x v="0"/>
    <x v="3"/>
    <s v="D"/>
    <x v="0"/>
    <n v="12.95"/>
    <n v="77.699999999999989"/>
    <x v="3"/>
    <x v="2"/>
    <x v="0"/>
  </r>
  <r>
    <s v="CIX-22904-641"/>
    <x v="622"/>
    <x v="792"/>
    <s v="R-M-1"/>
    <n v="1"/>
    <x v="792"/>
    <s v="goatsny@live.com"/>
    <x v="0"/>
    <x v="0"/>
    <s v="M"/>
    <x v="0"/>
    <n v="9.9499999999999993"/>
    <n v="9.9499999999999993"/>
    <x v="0"/>
    <x v="0"/>
    <x v="0"/>
  </r>
  <r>
    <s v="DLV-65840-759"/>
    <x v="623"/>
    <x v="793"/>
    <s v="L-M-1"/>
    <n v="2"/>
    <x v="793"/>
    <s v="mbirkinnz@java.com"/>
    <x v="0"/>
    <x v="3"/>
    <s v="M"/>
    <x v="0"/>
    <n v="14.55"/>
    <n v="29.1"/>
    <x v="3"/>
    <x v="0"/>
    <x v="0"/>
  </r>
  <r>
    <s v="RXN-55491-201"/>
    <x v="354"/>
    <x v="794"/>
    <s v="R-L-0.2"/>
    <n v="6"/>
    <x v="794"/>
    <s v="rpysono0@constantcontact.com"/>
    <x v="1"/>
    <x v="0"/>
    <s v="L"/>
    <x v="3"/>
    <n v="3.5849999999999995"/>
    <n v="21.509999999999998"/>
    <x v="0"/>
    <x v="1"/>
    <x v="1"/>
  </r>
  <r>
    <s v="UHK-63283-868"/>
    <x v="624"/>
    <x v="795"/>
    <s v="A-M-0.5"/>
    <n v="1"/>
    <x v="795"/>
    <s v="mmacconnechieo9@reuters.com"/>
    <x v="0"/>
    <x v="2"/>
    <s v="M"/>
    <x v="1"/>
    <n v="6.75"/>
    <n v="6.75"/>
    <x v="2"/>
    <x v="0"/>
    <x v="0"/>
  </r>
  <r>
    <s v="PJC-31401-893"/>
    <x v="561"/>
    <x v="796"/>
    <s v="A-D-0.5"/>
    <n v="3"/>
    <x v="796"/>
    <s v="rtreachero2@usa.gov"/>
    <x v="1"/>
    <x v="2"/>
    <s v="D"/>
    <x v="1"/>
    <n v="5.97"/>
    <n v="17.91"/>
    <x v="2"/>
    <x v="2"/>
    <x v="1"/>
  </r>
  <r>
    <s v="HHO-79903-185"/>
    <x v="42"/>
    <x v="797"/>
    <s v="A-L-2.5"/>
    <n v="1"/>
    <x v="797"/>
    <s v="bfattorinio3@quantcast.com"/>
    <x v="1"/>
    <x v="2"/>
    <s v="L"/>
    <x v="2"/>
    <n v="29.784999999999997"/>
    <n v="29.784999999999997"/>
    <x v="2"/>
    <x v="1"/>
    <x v="0"/>
  </r>
  <r>
    <s v="YWM-07310-594"/>
    <x v="267"/>
    <x v="798"/>
    <s v="E-M-0.5"/>
    <n v="5"/>
    <x v="798"/>
    <s v="mpalleskeo4@nyu.edu"/>
    <x v="0"/>
    <x v="1"/>
    <s v="M"/>
    <x v="1"/>
    <n v="8.25"/>
    <n v="41.25"/>
    <x v="1"/>
    <x v="0"/>
    <x v="0"/>
  </r>
  <r>
    <s v="FHD-94983-982"/>
    <x v="625"/>
    <x v="799"/>
    <s v="R-M-0.5"/>
    <n v="3"/>
    <x v="799"/>
    <s v=""/>
    <x v="0"/>
    <x v="0"/>
    <s v="M"/>
    <x v="1"/>
    <n v="5.97"/>
    <n v="17.91"/>
    <x v="0"/>
    <x v="0"/>
    <x v="0"/>
  </r>
  <r>
    <s v="WQK-10857-119"/>
    <x v="616"/>
    <x v="800"/>
    <s v="E-D-0.5"/>
    <n v="1"/>
    <x v="800"/>
    <s v="fantcliffeo6@amazon.co.jp"/>
    <x v="1"/>
    <x v="1"/>
    <s v="D"/>
    <x v="1"/>
    <n v="7.29"/>
    <n v="7.29"/>
    <x v="1"/>
    <x v="2"/>
    <x v="0"/>
  </r>
  <r>
    <s v="DXA-50313-073"/>
    <x v="626"/>
    <x v="801"/>
    <s v="E-L-1"/>
    <n v="2"/>
    <x v="801"/>
    <s v="pmatignono7@harvard.edu"/>
    <x v="2"/>
    <x v="1"/>
    <s v="L"/>
    <x v="0"/>
    <n v="14.85"/>
    <n v="29.7"/>
    <x v="1"/>
    <x v="1"/>
    <x v="0"/>
  </r>
  <r>
    <s v="ONW-00560-570"/>
    <x v="52"/>
    <x v="802"/>
    <s v="A-M-1"/>
    <n v="2"/>
    <x v="802"/>
    <s v="cweondo8@theglobeandmail.com"/>
    <x v="0"/>
    <x v="2"/>
    <s v="M"/>
    <x v="0"/>
    <n v="11.25"/>
    <n v="22.5"/>
    <x v="2"/>
    <x v="0"/>
    <x v="1"/>
  </r>
  <r>
    <s v="BRJ-19414-277"/>
    <x v="622"/>
    <x v="795"/>
    <s v="R-M-0.2"/>
    <n v="4"/>
    <x v="795"/>
    <s v="mmacconnechieo9@reuters.com"/>
    <x v="0"/>
    <x v="0"/>
    <s v="M"/>
    <x v="3"/>
    <n v="2.9849999999999999"/>
    <n v="11.94"/>
    <x v="0"/>
    <x v="0"/>
    <x v="0"/>
  </r>
  <r>
    <s v="MIQ-16322-908"/>
    <x v="627"/>
    <x v="803"/>
    <s v="A-L-1"/>
    <n v="2"/>
    <x v="803"/>
    <s v="jskentelberyoa@paypal.com"/>
    <x v="0"/>
    <x v="2"/>
    <s v="L"/>
    <x v="0"/>
    <n v="12.95"/>
    <n v="25.9"/>
    <x v="2"/>
    <x v="1"/>
    <x v="1"/>
  </r>
  <r>
    <s v="MVO-39328-830"/>
    <x v="628"/>
    <x v="804"/>
    <s v="L-M-0.5"/>
    <n v="5"/>
    <x v="804"/>
    <s v="ocomberob@goo.gl"/>
    <x v="1"/>
    <x v="3"/>
    <s v="M"/>
    <x v="1"/>
    <n v="8.73"/>
    <n v="43.650000000000006"/>
    <x v="3"/>
    <x v="0"/>
    <x v="1"/>
  </r>
  <r>
    <s v="MVO-39328-830"/>
    <x v="628"/>
    <x v="804"/>
    <s v="A-L-0.5"/>
    <n v="6"/>
    <x v="804"/>
    <s v="ocomberob@goo.gl"/>
    <x v="1"/>
    <x v="2"/>
    <s v="L"/>
    <x v="1"/>
    <n v="7.77"/>
    <n v="46.62"/>
    <x v="2"/>
    <x v="1"/>
    <x v="1"/>
  </r>
  <r>
    <s v="NTJ-88319-746"/>
    <x v="629"/>
    <x v="805"/>
    <s v="L-L-0.5"/>
    <n v="3"/>
    <x v="805"/>
    <s v="ztramelod@netlog.com"/>
    <x v="0"/>
    <x v="3"/>
    <s v="L"/>
    <x v="1"/>
    <n v="9.51"/>
    <n v="28.53"/>
    <x v="3"/>
    <x v="1"/>
    <x v="1"/>
  </r>
  <r>
    <s v="LCY-24377-948"/>
    <x v="630"/>
    <x v="806"/>
    <s v="R-L-2.5"/>
    <n v="1"/>
    <x v="806"/>
    <s v=""/>
    <x v="0"/>
    <x v="0"/>
    <s v="L"/>
    <x v="2"/>
    <n v="27.484999999999996"/>
    <n v="27.484999999999996"/>
    <x v="0"/>
    <x v="1"/>
    <x v="0"/>
  </r>
  <r>
    <s v="FWD-85967-769"/>
    <x v="631"/>
    <x v="807"/>
    <s v="E-D-0.2"/>
    <n v="3"/>
    <x v="807"/>
    <s v=""/>
    <x v="0"/>
    <x v="1"/>
    <s v="D"/>
    <x v="3"/>
    <n v="3.645"/>
    <n v="10.935"/>
    <x v="1"/>
    <x v="2"/>
    <x v="1"/>
  </r>
  <r>
    <s v="KTO-53793-109"/>
    <x v="229"/>
    <x v="808"/>
    <s v="R-L-0.2"/>
    <n v="2"/>
    <x v="808"/>
    <s v="chatfullog@ebay.com"/>
    <x v="0"/>
    <x v="0"/>
    <s v="L"/>
    <x v="3"/>
    <n v="3.5849999999999995"/>
    <n v="7.169999999999999"/>
    <x v="0"/>
    <x v="1"/>
    <x v="1"/>
  </r>
  <r>
    <s v="OCK-89033-348"/>
    <x v="632"/>
    <x v="809"/>
    <s v="A-L-0.2"/>
    <n v="6"/>
    <x v="809"/>
    <s v=""/>
    <x v="0"/>
    <x v="2"/>
    <s v="L"/>
    <x v="3"/>
    <n v="3.8849999999999998"/>
    <n v="23.31"/>
    <x v="2"/>
    <x v="1"/>
    <x v="0"/>
  </r>
  <r>
    <s v="GPZ-36017-366"/>
    <x v="633"/>
    <x v="810"/>
    <s v="A-D-2.5"/>
    <n v="5"/>
    <x v="810"/>
    <s v="kmarrisonoq@dropbox.com"/>
    <x v="0"/>
    <x v="2"/>
    <s v="D"/>
    <x v="2"/>
    <n v="22.884999999999998"/>
    <n v="114.42499999999998"/>
    <x v="2"/>
    <x v="2"/>
    <x v="0"/>
  </r>
  <r>
    <s v="BZP-33213-637"/>
    <x v="95"/>
    <x v="811"/>
    <s v="A-M-2.5"/>
    <n v="3"/>
    <x v="811"/>
    <s v="lagnolooj@pinterest.com"/>
    <x v="0"/>
    <x v="2"/>
    <s v="M"/>
    <x v="2"/>
    <n v="25.874999999999996"/>
    <n v="77.624999999999986"/>
    <x v="2"/>
    <x v="0"/>
    <x v="0"/>
  </r>
  <r>
    <s v="WFH-21507-708"/>
    <x v="521"/>
    <x v="812"/>
    <s v="R-D-0.5"/>
    <n v="1"/>
    <x v="812"/>
    <s v="dkiddyok@fda.gov"/>
    <x v="0"/>
    <x v="0"/>
    <s v="D"/>
    <x v="1"/>
    <n v="5.3699999999999992"/>
    <n v="5.3699999999999992"/>
    <x v="0"/>
    <x v="2"/>
    <x v="0"/>
  </r>
  <r>
    <s v="HST-96923-073"/>
    <x v="76"/>
    <x v="813"/>
    <s v="R-D-2.5"/>
    <n v="6"/>
    <x v="813"/>
    <s v="hpetroulisol@state.tx.us"/>
    <x v="1"/>
    <x v="0"/>
    <s v="D"/>
    <x v="2"/>
    <n v="20.584999999999997"/>
    <n v="123.50999999999999"/>
    <x v="0"/>
    <x v="2"/>
    <x v="1"/>
  </r>
  <r>
    <s v="ENN-79947-323"/>
    <x v="634"/>
    <x v="814"/>
    <s v="L-M-0.5"/>
    <n v="2"/>
    <x v="814"/>
    <s v="mschollom@taobao.com"/>
    <x v="0"/>
    <x v="3"/>
    <s v="M"/>
    <x v="1"/>
    <n v="8.73"/>
    <n v="17.46"/>
    <x v="3"/>
    <x v="0"/>
    <x v="1"/>
  </r>
  <r>
    <s v="BHA-47429-889"/>
    <x v="635"/>
    <x v="815"/>
    <s v="E-L-0.2"/>
    <n v="3"/>
    <x v="815"/>
    <s v="kfersonon@g.co"/>
    <x v="0"/>
    <x v="1"/>
    <s v="L"/>
    <x v="3"/>
    <n v="4.4550000000000001"/>
    <n v="13.365"/>
    <x v="1"/>
    <x v="1"/>
    <x v="1"/>
  </r>
  <r>
    <s v="SZY-63017-318"/>
    <x v="636"/>
    <x v="816"/>
    <s v="A-L-0.2"/>
    <n v="2"/>
    <x v="816"/>
    <s v="bkellowayoo@omniture.com"/>
    <x v="0"/>
    <x v="2"/>
    <s v="L"/>
    <x v="3"/>
    <n v="3.8849999999999998"/>
    <n v="7.77"/>
    <x v="2"/>
    <x v="1"/>
    <x v="0"/>
  </r>
  <r>
    <s v="LCU-93317-340"/>
    <x v="637"/>
    <x v="817"/>
    <s v="R-D-0.2"/>
    <n v="1"/>
    <x v="817"/>
    <s v="soliffeop@yellowbook.com"/>
    <x v="0"/>
    <x v="0"/>
    <s v="D"/>
    <x v="3"/>
    <n v="2.6849999999999996"/>
    <n v="2.6849999999999996"/>
    <x v="0"/>
    <x v="2"/>
    <x v="0"/>
  </r>
  <r>
    <s v="UOM-71431-481"/>
    <x v="182"/>
    <x v="810"/>
    <s v="R-D-2.5"/>
    <n v="1"/>
    <x v="810"/>
    <s v="kmarrisonoq@dropbox.com"/>
    <x v="0"/>
    <x v="0"/>
    <s v="D"/>
    <x v="2"/>
    <n v="20.584999999999997"/>
    <n v="20.584999999999997"/>
    <x v="0"/>
    <x v="2"/>
    <x v="0"/>
  </r>
  <r>
    <s v="PJH-42618-877"/>
    <x v="479"/>
    <x v="818"/>
    <s v="A-D-2.5"/>
    <n v="5"/>
    <x v="818"/>
    <s v="cdolohuntyor@dailymail.co.uk"/>
    <x v="0"/>
    <x v="2"/>
    <s v="D"/>
    <x v="2"/>
    <n v="22.884999999999998"/>
    <n v="114.42499999999998"/>
    <x v="2"/>
    <x v="2"/>
    <x v="0"/>
  </r>
  <r>
    <s v="XED-90333-402"/>
    <x v="638"/>
    <x v="819"/>
    <s v="E-M-0.2"/>
    <n v="5"/>
    <x v="819"/>
    <s v="pvasilenkoos@addtoany.com"/>
    <x v="2"/>
    <x v="1"/>
    <s v="M"/>
    <x v="3"/>
    <n v="4.125"/>
    <n v="20.625"/>
    <x v="1"/>
    <x v="0"/>
    <x v="1"/>
  </r>
  <r>
    <s v="IKK-62234-199"/>
    <x v="639"/>
    <x v="820"/>
    <s v="L-L-0.5"/>
    <n v="6"/>
    <x v="820"/>
    <s v="rschankelborgot@ameblo.jp"/>
    <x v="0"/>
    <x v="3"/>
    <s v="L"/>
    <x v="1"/>
    <n v="9.51"/>
    <n v="57.06"/>
    <x v="3"/>
    <x v="1"/>
    <x v="0"/>
  </r>
  <r>
    <s v="KAW-95195-329"/>
    <x v="640"/>
    <x v="821"/>
    <s v="R-D-2.5"/>
    <n v="4"/>
    <x v="821"/>
    <s v=""/>
    <x v="1"/>
    <x v="0"/>
    <s v="D"/>
    <x v="2"/>
    <n v="20.584999999999997"/>
    <n v="82.339999999999989"/>
    <x v="0"/>
    <x v="2"/>
    <x v="0"/>
  </r>
  <r>
    <s v="QDO-57268-842"/>
    <x v="612"/>
    <x v="822"/>
    <s v="E-M-2.5"/>
    <n v="5"/>
    <x v="822"/>
    <s v=""/>
    <x v="0"/>
    <x v="1"/>
    <s v="M"/>
    <x v="2"/>
    <n v="31.624999999999996"/>
    <n v="158.12499999999997"/>
    <x v="1"/>
    <x v="0"/>
    <x v="1"/>
  </r>
  <r>
    <s v="IIZ-24416-212"/>
    <x v="641"/>
    <x v="823"/>
    <s v="R-D-0.5"/>
    <n v="6"/>
    <x v="823"/>
    <s v="bcargenow@geocities.jp"/>
    <x v="0"/>
    <x v="0"/>
    <s v="D"/>
    <x v="1"/>
    <n v="5.3699999999999992"/>
    <n v="32.22"/>
    <x v="0"/>
    <x v="2"/>
    <x v="0"/>
  </r>
  <r>
    <s v="AWP-11469-510"/>
    <x v="36"/>
    <x v="824"/>
    <s v="E-D-1"/>
    <n v="2"/>
    <x v="824"/>
    <s v="rsticklerox@printfriendly.com"/>
    <x v="2"/>
    <x v="1"/>
    <s v="D"/>
    <x v="0"/>
    <n v="12.15"/>
    <n v="24.3"/>
    <x v="1"/>
    <x v="2"/>
    <x v="1"/>
  </r>
  <r>
    <s v="KXA-27983-918"/>
    <x v="642"/>
    <x v="825"/>
    <s v="R-L-0.5"/>
    <n v="5"/>
    <x v="825"/>
    <s v=""/>
    <x v="0"/>
    <x v="0"/>
    <s v="L"/>
    <x v="1"/>
    <n v="7.169999999999999"/>
    <n v="35.849999999999994"/>
    <x v="0"/>
    <x v="1"/>
    <x v="1"/>
  </r>
  <r>
    <s v="VKQ-39009-292"/>
    <x v="219"/>
    <x v="822"/>
    <s v="L-M-1"/>
    <n v="5"/>
    <x v="822"/>
    <s v=""/>
    <x v="0"/>
    <x v="3"/>
    <s v="M"/>
    <x v="0"/>
    <n v="14.55"/>
    <n v="72.75"/>
    <x v="3"/>
    <x v="0"/>
    <x v="1"/>
  </r>
  <r>
    <s v="PDB-98743-282"/>
    <x v="643"/>
    <x v="826"/>
    <s v="L-L-1"/>
    <n v="3"/>
    <x v="826"/>
    <s v=""/>
    <x v="1"/>
    <x v="3"/>
    <s v="L"/>
    <x v="0"/>
    <n v="15.85"/>
    <n v="47.55"/>
    <x v="3"/>
    <x v="1"/>
    <x v="1"/>
  </r>
  <r>
    <s v="SXW-34014-556"/>
    <x v="644"/>
    <x v="827"/>
    <s v="R-L-0.2"/>
    <n v="1"/>
    <x v="827"/>
    <s v="djevonp1@ibm.com"/>
    <x v="0"/>
    <x v="0"/>
    <s v="L"/>
    <x v="3"/>
    <n v="3.5849999999999995"/>
    <n v="3.5849999999999995"/>
    <x v="0"/>
    <x v="1"/>
    <x v="0"/>
  </r>
  <r>
    <s v="QOJ-38788-727"/>
    <x v="136"/>
    <x v="828"/>
    <s v="E-M-2.5"/>
    <n v="5"/>
    <x v="828"/>
    <s v="hrannerp2@omniture.com"/>
    <x v="0"/>
    <x v="1"/>
    <s v="M"/>
    <x v="2"/>
    <n v="31.624999999999996"/>
    <n v="158.12499999999997"/>
    <x v="1"/>
    <x v="0"/>
    <x v="1"/>
  </r>
  <r>
    <s v="TGF-38649-658"/>
    <x v="645"/>
    <x v="829"/>
    <s v="L-M-0.5"/>
    <n v="2"/>
    <x v="829"/>
    <s v="bimriep3@addtoany.com"/>
    <x v="0"/>
    <x v="3"/>
    <s v="M"/>
    <x v="1"/>
    <n v="8.73"/>
    <n v="17.46"/>
    <x v="3"/>
    <x v="0"/>
    <x v="1"/>
  </r>
  <r>
    <s v="EAI-25194-209"/>
    <x v="646"/>
    <x v="830"/>
    <s v="A-L-2.5"/>
    <n v="5"/>
    <x v="830"/>
    <s v="dsopperp4@eventbrite.com"/>
    <x v="0"/>
    <x v="2"/>
    <s v="L"/>
    <x v="2"/>
    <n v="29.784999999999997"/>
    <n v="148.92499999999998"/>
    <x v="2"/>
    <x v="1"/>
    <x v="1"/>
  </r>
  <r>
    <s v="IJK-34441-720"/>
    <x v="647"/>
    <x v="831"/>
    <s v="A-M-0.5"/>
    <n v="6"/>
    <x v="831"/>
    <s v=""/>
    <x v="0"/>
    <x v="2"/>
    <s v="M"/>
    <x v="1"/>
    <n v="6.75"/>
    <n v="40.5"/>
    <x v="2"/>
    <x v="0"/>
    <x v="0"/>
  </r>
  <r>
    <s v="ZMC-00336-619"/>
    <x v="591"/>
    <x v="832"/>
    <s v="A-M-0.5"/>
    <n v="4"/>
    <x v="832"/>
    <s v="lledgleyp6@de.vu"/>
    <x v="0"/>
    <x v="2"/>
    <s v="M"/>
    <x v="1"/>
    <n v="6.75"/>
    <n v="27"/>
    <x v="2"/>
    <x v="0"/>
    <x v="0"/>
  </r>
  <r>
    <s v="UPX-54529-618"/>
    <x v="648"/>
    <x v="833"/>
    <s v="L-D-1"/>
    <n v="3"/>
    <x v="833"/>
    <s v="tmenaryp7@phoca.cz"/>
    <x v="0"/>
    <x v="3"/>
    <s v="D"/>
    <x v="0"/>
    <n v="12.95"/>
    <n v="38.849999999999994"/>
    <x v="3"/>
    <x v="2"/>
    <x v="1"/>
  </r>
  <r>
    <s v="DLX-01059-899"/>
    <x v="191"/>
    <x v="834"/>
    <s v="R-L-1"/>
    <n v="5"/>
    <x v="834"/>
    <s v="gciccottip8@so-net.ne.jp"/>
    <x v="0"/>
    <x v="0"/>
    <s v="L"/>
    <x v="0"/>
    <n v="11.95"/>
    <n v="59.75"/>
    <x v="0"/>
    <x v="1"/>
    <x v="1"/>
  </r>
  <r>
    <s v="MEK-85120-243"/>
    <x v="649"/>
    <x v="835"/>
    <s v="R-L-0.2"/>
    <n v="3"/>
    <x v="835"/>
    <s v=""/>
    <x v="0"/>
    <x v="0"/>
    <s v="L"/>
    <x v="3"/>
    <n v="3.5849999999999995"/>
    <n v="10.754999999999999"/>
    <x v="0"/>
    <x v="1"/>
    <x v="1"/>
  </r>
  <r>
    <s v="NFI-37188-246"/>
    <x v="553"/>
    <x v="836"/>
    <s v="A-D-2.5"/>
    <n v="4"/>
    <x v="836"/>
    <s v="wjallinpa@pcworld.com"/>
    <x v="0"/>
    <x v="2"/>
    <s v="D"/>
    <x v="2"/>
    <n v="22.884999999999998"/>
    <n v="91.539999999999992"/>
    <x v="2"/>
    <x v="2"/>
    <x v="1"/>
  </r>
  <r>
    <s v="BXH-62195-013"/>
    <x v="584"/>
    <x v="837"/>
    <s v="A-M-1"/>
    <n v="4"/>
    <x v="837"/>
    <s v="mbogeypb@thetimes.co.uk"/>
    <x v="0"/>
    <x v="2"/>
    <s v="M"/>
    <x v="0"/>
    <n v="11.25"/>
    <n v="45"/>
    <x v="2"/>
    <x v="0"/>
    <x v="0"/>
  </r>
  <r>
    <s v="YLK-78851-470"/>
    <x v="650"/>
    <x v="838"/>
    <s v="R-M-2.5"/>
    <n v="6"/>
    <x v="838"/>
    <s v=""/>
    <x v="0"/>
    <x v="0"/>
    <s v="M"/>
    <x v="2"/>
    <n v="22.884999999999998"/>
    <n v="137.31"/>
    <x v="0"/>
    <x v="0"/>
    <x v="0"/>
  </r>
  <r>
    <s v="DXY-76225-633"/>
    <x v="121"/>
    <x v="839"/>
    <s v="A-M-0.5"/>
    <n v="1"/>
    <x v="839"/>
    <s v="mcobbledickpd@ucsd.edu"/>
    <x v="0"/>
    <x v="2"/>
    <s v="M"/>
    <x v="1"/>
    <n v="6.75"/>
    <n v="6.75"/>
    <x v="2"/>
    <x v="0"/>
    <x v="1"/>
  </r>
  <r>
    <s v="UHP-24614-199"/>
    <x v="472"/>
    <x v="840"/>
    <s v="A-M-1"/>
    <n v="4"/>
    <x v="840"/>
    <s v="alewrype@whitehouse.gov"/>
    <x v="0"/>
    <x v="2"/>
    <s v="M"/>
    <x v="0"/>
    <n v="11.25"/>
    <n v="45"/>
    <x v="2"/>
    <x v="0"/>
    <x v="1"/>
  </r>
  <r>
    <s v="HBY-35655-049"/>
    <x v="594"/>
    <x v="841"/>
    <s v="E-D-2.5"/>
    <n v="3"/>
    <x v="841"/>
    <s v="ihesselpf@ox.ac.uk"/>
    <x v="0"/>
    <x v="1"/>
    <s v="D"/>
    <x v="2"/>
    <n v="27.945"/>
    <n v="83.835000000000008"/>
    <x v="1"/>
    <x v="2"/>
    <x v="0"/>
  </r>
  <r>
    <s v="DCE-22886-861"/>
    <x v="89"/>
    <x v="842"/>
    <s v="E-D-0.2"/>
    <n v="1"/>
    <x v="842"/>
    <s v=""/>
    <x v="1"/>
    <x v="1"/>
    <s v="D"/>
    <x v="3"/>
    <n v="3.645"/>
    <n v="3.645"/>
    <x v="1"/>
    <x v="2"/>
    <x v="0"/>
  </r>
  <r>
    <s v="QTG-93823-843"/>
    <x v="651"/>
    <x v="843"/>
    <s v="A-M-0.5"/>
    <n v="1"/>
    <x v="843"/>
    <s v="csorrellph@amazon.com"/>
    <x v="2"/>
    <x v="2"/>
    <s v="M"/>
    <x v="1"/>
    <n v="6.75"/>
    <n v="6.75"/>
    <x v="2"/>
    <x v="0"/>
    <x v="1"/>
  </r>
  <r>
    <s v="QTG-93823-843"/>
    <x v="651"/>
    <x v="843"/>
    <s v="E-D-0.5"/>
    <n v="3"/>
    <x v="843"/>
    <s v="csorrellph@amazon.com"/>
    <x v="2"/>
    <x v="1"/>
    <s v="D"/>
    <x v="1"/>
    <n v="7.29"/>
    <n v="21.87"/>
    <x v="1"/>
    <x v="2"/>
    <x v="1"/>
  </r>
  <r>
    <s v="WFT-16178-396"/>
    <x v="249"/>
    <x v="844"/>
    <s v="R-D-0.2"/>
    <n v="5"/>
    <x v="844"/>
    <s v="qheavysidepj@unc.edu"/>
    <x v="0"/>
    <x v="0"/>
    <s v="D"/>
    <x v="3"/>
    <n v="2.6849999999999996"/>
    <n v="13.424999999999997"/>
    <x v="0"/>
    <x v="2"/>
    <x v="0"/>
  </r>
  <r>
    <s v="ERC-54560-934"/>
    <x v="652"/>
    <x v="845"/>
    <s v="R-D-2.5"/>
    <n v="6"/>
    <x v="845"/>
    <s v="hreuvenpk@whitehouse.gov"/>
    <x v="0"/>
    <x v="0"/>
    <s v="D"/>
    <x v="2"/>
    <n v="20.584999999999997"/>
    <n v="123.50999999999999"/>
    <x v="0"/>
    <x v="2"/>
    <x v="1"/>
  </r>
  <r>
    <s v="RUK-78200-416"/>
    <x v="653"/>
    <x v="846"/>
    <s v="L-D-0.2"/>
    <n v="2"/>
    <x v="846"/>
    <s v="mattwoolpl@nba.com"/>
    <x v="0"/>
    <x v="3"/>
    <s v="D"/>
    <x v="3"/>
    <n v="3.8849999999999998"/>
    <n v="7.77"/>
    <x v="3"/>
    <x v="2"/>
    <x v="1"/>
  </r>
  <r>
    <s v="KHK-13105-388"/>
    <x v="177"/>
    <x v="847"/>
    <s v="A-M-1"/>
    <n v="6"/>
    <x v="847"/>
    <s v=""/>
    <x v="0"/>
    <x v="2"/>
    <s v="M"/>
    <x v="0"/>
    <n v="11.25"/>
    <n v="67.5"/>
    <x v="2"/>
    <x v="0"/>
    <x v="0"/>
  </r>
  <r>
    <s v="NJR-03699-189"/>
    <x v="22"/>
    <x v="848"/>
    <s v="E-D-2.5"/>
    <n v="1"/>
    <x v="848"/>
    <s v="gwynespn@dagondesign.com"/>
    <x v="0"/>
    <x v="1"/>
    <s v="D"/>
    <x v="2"/>
    <n v="27.945"/>
    <n v="27.945"/>
    <x v="1"/>
    <x v="2"/>
    <x v="1"/>
  </r>
  <r>
    <s v="PJV-20427-019"/>
    <x v="508"/>
    <x v="849"/>
    <s v="A-L-2.5"/>
    <n v="3"/>
    <x v="849"/>
    <s v="cmaccourtpo@amazon.com"/>
    <x v="0"/>
    <x v="2"/>
    <s v="L"/>
    <x v="2"/>
    <n v="29.784999999999997"/>
    <n v="89.35499999999999"/>
    <x v="2"/>
    <x v="1"/>
    <x v="1"/>
  </r>
  <r>
    <s v="UGK-07613-982"/>
    <x v="654"/>
    <x v="822"/>
    <s v="A-M-0.5"/>
    <n v="3"/>
    <x v="822"/>
    <s v=""/>
    <x v="0"/>
    <x v="2"/>
    <s v="M"/>
    <x v="1"/>
    <n v="6.75"/>
    <n v="20.25"/>
    <x v="2"/>
    <x v="0"/>
    <x v="1"/>
  </r>
  <r>
    <s v="OLA-68289-577"/>
    <x v="524"/>
    <x v="850"/>
    <s v="A-M-0.5"/>
    <n v="5"/>
    <x v="850"/>
    <s v="ewilsonepq@eepurl.com"/>
    <x v="0"/>
    <x v="2"/>
    <s v="M"/>
    <x v="1"/>
    <n v="6.75"/>
    <n v="33.75"/>
    <x v="2"/>
    <x v="0"/>
    <x v="0"/>
  </r>
  <r>
    <s v="TNR-84447-052"/>
    <x v="655"/>
    <x v="851"/>
    <s v="E-D-2.5"/>
    <n v="4"/>
    <x v="851"/>
    <s v="dduffiepr@time.com"/>
    <x v="0"/>
    <x v="1"/>
    <s v="D"/>
    <x v="2"/>
    <n v="27.945"/>
    <n v="111.78"/>
    <x v="1"/>
    <x v="2"/>
    <x v="1"/>
  </r>
  <r>
    <s v="FBZ-64200-586"/>
    <x v="523"/>
    <x v="852"/>
    <s v="E-M-2.5"/>
    <n v="2"/>
    <x v="852"/>
    <s v="mmatiasekps@ucoz.ru"/>
    <x v="0"/>
    <x v="1"/>
    <s v="M"/>
    <x v="2"/>
    <n v="31.624999999999996"/>
    <n v="63.249999999999993"/>
    <x v="1"/>
    <x v="0"/>
    <x v="0"/>
  </r>
  <r>
    <s v="OBN-66334-505"/>
    <x v="656"/>
    <x v="853"/>
    <s v="E-L-0.2"/>
    <n v="2"/>
    <x v="853"/>
    <s v="jcamillopt@shinystat.com"/>
    <x v="0"/>
    <x v="1"/>
    <s v="L"/>
    <x v="3"/>
    <n v="4.4550000000000001"/>
    <n v="8.91"/>
    <x v="1"/>
    <x v="1"/>
    <x v="0"/>
  </r>
  <r>
    <s v="NXM-89323-646"/>
    <x v="657"/>
    <x v="854"/>
    <s v="E-D-1"/>
    <n v="1"/>
    <x v="854"/>
    <s v="kphilbrickpu@cdc.gov"/>
    <x v="0"/>
    <x v="1"/>
    <s v="D"/>
    <x v="0"/>
    <n v="12.15"/>
    <n v="12.15"/>
    <x v="1"/>
    <x v="2"/>
    <x v="0"/>
  </r>
  <r>
    <s v="NHI-23264-055"/>
    <x v="658"/>
    <x v="855"/>
    <s v="A-D-0.5"/>
    <n v="4"/>
    <x v="855"/>
    <s v=""/>
    <x v="0"/>
    <x v="2"/>
    <s v="D"/>
    <x v="1"/>
    <n v="5.97"/>
    <n v="23.88"/>
    <x v="2"/>
    <x v="2"/>
    <x v="0"/>
  </r>
  <r>
    <s v="EQH-53569-934"/>
    <x v="659"/>
    <x v="856"/>
    <s v="E-M-1"/>
    <n v="4"/>
    <x v="856"/>
    <s v="bsillispw@istockphoto.com"/>
    <x v="0"/>
    <x v="1"/>
    <s v="M"/>
    <x v="0"/>
    <n v="13.75"/>
    <n v="55"/>
    <x v="1"/>
    <x v="0"/>
    <x v="1"/>
  </r>
  <r>
    <s v="XKK-06692-189"/>
    <x v="558"/>
    <x v="857"/>
    <s v="R-D-1"/>
    <n v="3"/>
    <x v="857"/>
    <s v=""/>
    <x v="0"/>
    <x v="0"/>
    <s v="D"/>
    <x v="0"/>
    <n v="8.9499999999999993"/>
    <n v="26.849999999999998"/>
    <x v="0"/>
    <x v="2"/>
    <x v="0"/>
  </r>
  <r>
    <s v="BYP-16005-016"/>
    <x v="660"/>
    <x v="858"/>
    <s v="R-M-2.5"/>
    <n v="5"/>
    <x v="858"/>
    <s v="rcuttspy@techcrunch.com"/>
    <x v="0"/>
    <x v="0"/>
    <s v="M"/>
    <x v="2"/>
    <n v="22.884999999999998"/>
    <n v="114.42499999999998"/>
    <x v="0"/>
    <x v="0"/>
    <x v="1"/>
  </r>
  <r>
    <s v="LWS-13938-905"/>
    <x v="661"/>
    <x v="859"/>
    <s v="A-M-2.5"/>
    <n v="6"/>
    <x v="859"/>
    <s v="mdelvespz@nature.com"/>
    <x v="0"/>
    <x v="2"/>
    <s v="M"/>
    <x v="2"/>
    <n v="25.874999999999996"/>
    <n v="155.24999999999997"/>
    <x v="2"/>
    <x v="0"/>
    <x v="0"/>
  </r>
  <r>
    <s v="OLH-95722-362"/>
    <x v="662"/>
    <x v="860"/>
    <s v="L-D-0.5"/>
    <n v="3"/>
    <x v="860"/>
    <s v="dgrittonq0@nydailynews.com"/>
    <x v="0"/>
    <x v="3"/>
    <s v="D"/>
    <x v="1"/>
    <n v="7.77"/>
    <n v="23.31"/>
    <x v="3"/>
    <x v="2"/>
    <x v="0"/>
  </r>
  <r>
    <s v="OLH-95722-362"/>
    <x v="662"/>
    <x v="860"/>
    <s v="R-M-2.5"/>
    <n v="4"/>
    <x v="860"/>
    <s v="dgrittonq0@nydailynews.com"/>
    <x v="0"/>
    <x v="0"/>
    <s v="M"/>
    <x v="2"/>
    <n v="22.884999999999998"/>
    <n v="91.539999999999992"/>
    <x v="0"/>
    <x v="0"/>
    <x v="0"/>
  </r>
  <r>
    <s v="KCW-50949-318"/>
    <x v="184"/>
    <x v="861"/>
    <s v="E-L-1"/>
    <n v="5"/>
    <x v="861"/>
    <s v="dgutq2@umich.edu"/>
    <x v="0"/>
    <x v="1"/>
    <s v="L"/>
    <x v="0"/>
    <n v="14.85"/>
    <n v="74.25"/>
    <x v="1"/>
    <x v="1"/>
    <x v="0"/>
  </r>
  <r>
    <s v="JGZ-16947-591"/>
    <x v="663"/>
    <x v="862"/>
    <s v="L-L-0.2"/>
    <n v="6"/>
    <x v="862"/>
    <s v="wpummeryq3@topsy.com"/>
    <x v="0"/>
    <x v="3"/>
    <s v="L"/>
    <x v="3"/>
    <n v="4.7549999999999999"/>
    <n v="28.53"/>
    <x v="3"/>
    <x v="1"/>
    <x v="1"/>
  </r>
  <r>
    <s v="LXS-63326-144"/>
    <x v="334"/>
    <x v="863"/>
    <s v="R-L-0.5"/>
    <n v="2"/>
    <x v="863"/>
    <s v="gsiudaq4@nytimes.com"/>
    <x v="0"/>
    <x v="0"/>
    <s v="L"/>
    <x v="1"/>
    <n v="7.169999999999999"/>
    <n v="14.339999999999998"/>
    <x v="0"/>
    <x v="1"/>
    <x v="0"/>
  </r>
  <r>
    <s v="CZG-86544-655"/>
    <x v="664"/>
    <x v="864"/>
    <s v="A-L-0.5"/>
    <n v="2"/>
    <x v="864"/>
    <s v="hcrowneq5@wufoo.com"/>
    <x v="1"/>
    <x v="2"/>
    <s v="L"/>
    <x v="1"/>
    <n v="7.77"/>
    <n v="15.54"/>
    <x v="2"/>
    <x v="1"/>
    <x v="0"/>
  </r>
  <r>
    <s v="WFV-88138-247"/>
    <x v="24"/>
    <x v="865"/>
    <s v="R-L-1"/>
    <n v="3"/>
    <x v="865"/>
    <s v="vpawseyq6@tiny.cc"/>
    <x v="0"/>
    <x v="0"/>
    <s v="L"/>
    <x v="0"/>
    <n v="11.95"/>
    <n v="35.849999999999994"/>
    <x v="0"/>
    <x v="1"/>
    <x v="1"/>
  </r>
  <r>
    <s v="RFG-28227-288"/>
    <x v="12"/>
    <x v="866"/>
    <s v="A-L-0.5"/>
    <n v="6"/>
    <x v="866"/>
    <s v="awaterhouseq7@istockphoto.com"/>
    <x v="0"/>
    <x v="2"/>
    <s v="L"/>
    <x v="1"/>
    <n v="7.77"/>
    <n v="46.62"/>
    <x v="2"/>
    <x v="1"/>
    <x v="1"/>
  </r>
  <r>
    <s v="QAK-77286-758"/>
    <x v="105"/>
    <x v="867"/>
    <s v="R-L-0.5"/>
    <n v="5"/>
    <x v="867"/>
    <s v="fhaughianq8@1688.com"/>
    <x v="0"/>
    <x v="0"/>
    <s v="L"/>
    <x v="1"/>
    <n v="7.169999999999999"/>
    <n v="35.849999999999994"/>
    <x v="0"/>
    <x v="1"/>
    <x v="1"/>
  </r>
  <r>
    <s v="CZD-56716-840"/>
    <x v="665"/>
    <x v="868"/>
    <s v="L-D-2.5"/>
    <n v="4"/>
    <x v="868"/>
    <s v=""/>
    <x v="0"/>
    <x v="3"/>
    <s v="D"/>
    <x v="2"/>
    <n v="29.784999999999997"/>
    <n v="119.13999999999999"/>
    <x v="3"/>
    <x v="2"/>
    <x v="1"/>
  </r>
  <r>
    <s v="UBI-59229-277"/>
    <x v="44"/>
    <x v="869"/>
    <s v="L-D-0.5"/>
    <n v="3"/>
    <x v="869"/>
    <s v=""/>
    <x v="0"/>
    <x v="3"/>
    <s v="D"/>
    <x v="1"/>
    <n v="7.77"/>
    <n v="23.31"/>
    <x v="3"/>
    <x v="2"/>
    <x v="1"/>
  </r>
  <r>
    <s v="WJJ-37489-898"/>
    <x v="171"/>
    <x v="870"/>
    <s v="A-M-1"/>
    <n v="1"/>
    <x v="870"/>
    <s v="rfaltinqb@topsy.com"/>
    <x v="1"/>
    <x v="2"/>
    <s v="M"/>
    <x v="0"/>
    <n v="11.25"/>
    <n v="11.25"/>
    <x v="2"/>
    <x v="0"/>
    <x v="1"/>
  </r>
  <r>
    <s v="ORX-57454-917"/>
    <x v="328"/>
    <x v="871"/>
    <s v="E-D-2.5"/>
    <n v="3"/>
    <x v="871"/>
    <s v="gcheekeqc@sitemeter.com"/>
    <x v="2"/>
    <x v="1"/>
    <s v="D"/>
    <x v="2"/>
    <n v="27.945"/>
    <n v="83.835000000000008"/>
    <x v="1"/>
    <x v="2"/>
    <x v="0"/>
  </r>
  <r>
    <s v="GRB-68838-629"/>
    <x v="648"/>
    <x v="872"/>
    <s v="R-L-2.5"/>
    <n v="4"/>
    <x v="872"/>
    <s v="grattqd@phpbb.com"/>
    <x v="1"/>
    <x v="0"/>
    <s v="L"/>
    <x v="2"/>
    <n v="27.484999999999996"/>
    <n v="109.93999999999998"/>
    <x v="0"/>
    <x v="1"/>
    <x v="1"/>
  </r>
  <r>
    <s v="SHT-04865-419"/>
    <x v="666"/>
    <x v="873"/>
    <s v="R-L-0.2"/>
    <n v="4"/>
    <x v="873"/>
    <s v=""/>
    <x v="0"/>
    <x v="0"/>
    <s v="L"/>
    <x v="3"/>
    <n v="3.5849999999999995"/>
    <n v="14.339999999999998"/>
    <x v="0"/>
    <x v="1"/>
    <x v="0"/>
  </r>
  <r>
    <s v="UQI-28177-865"/>
    <x v="577"/>
    <x v="874"/>
    <s v="R-L-0.2"/>
    <n v="6"/>
    <x v="874"/>
    <s v="ieberleinqf@hc360.com"/>
    <x v="0"/>
    <x v="0"/>
    <s v="L"/>
    <x v="3"/>
    <n v="3.5849999999999995"/>
    <n v="21.509999999999998"/>
    <x v="0"/>
    <x v="1"/>
    <x v="1"/>
  </r>
  <r>
    <s v="OIB-13664-879"/>
    <x v="114"/>
    <x v="875"/>
    <s v="A-M-1"/>
    <n v="2"/>
    <x v="875"/>
    <s v="jdrengqg@uiuc.edu"/>
    <x v="1"/>
    <x v="2"/>
    <s v="M"/>
    <x v="0"/>
    <n v="11.25"/>
    <n v="22.5"/>
    <x v="2"/>
    <x v="0"/>
    <x v="0"/>
  </r>
  <r>
    <s v="PJS-30996-485"/>
    <x v="4"/>
    <x v="857"/>
    <s v="A-L-0.2"/>
    <n v="1"/>
    <x v="857"/>
    <s v=""/>
    <x v="0"/>
    <x v="2"/>
    <s v="L"/>
    <x v="3"/>
    <n v="3.8849999999999998"/>
    <n v="3.8849999999999998"/>
    <x v="2"/>
    <x v="1"/>
    <x v="0"/>
  </r>
  <r>
    <s v="HEL-86709-449"/>
    <x v="667"/>
    <x v="857"/>
    <s v="E-D-2.5"/>
    <n v="1"/>
    <x v="857"/>
    <s v=""/>
    <x v="0"/>
    <x v="1"/>
    <s v="D"/>
    <x v="2"/>
    <n v="27.945"/>
    <n v="27.945"/>
    <x v="1"/>
    <x v="2"/>
    <x v="0"/>
  </r>
  <r>
    <s v="NCH-55389-562"/>
    <x v="110"/>
    <x v="857"/>
    <s v="E-L-2.5"/>
    <n v="5"/>
    <x v="857"/>
    <s v=""/>
    <x v="0"/>
    <x v="1"/>
    <s v="L"/>
    <x v="2"/>
    <n v="34.154999999999994"/>
    <n v="170.77499999999998"/>
    <x v="1"/>
    <x v="1"/>
    <x v="0"/>
  </r>
  <r>
    <s v="NCH-55389-562"/>
    <x v="110"/>
    <x v="857"/>
    <s v="R-L-2.5"/>
    <n v="2"/>
    <x v="857"/>
    <s v=""/>
    <x v="0"/>
    <x v="0"/>
    <s v="L"/>
    <x v="2"/>
    <n v="27.484999999999996"/>
    <n v="54.969999999999992"/>
    <x v="0"/>
    <x v="1"/>
    <x v="0"/>
  </r>
  <r>
    <s v="NCH-55389-562"/>
    <x v="110"/>
    <x v="857"/>
    <s v="E-L-1"/>
    <n v="1"/>
    <x v="857"/>
    <s v=""/>
    <x v="0"/>
    <x v="1"/>
    <s v="L"/>
    <x v="0"/>
    <n v="14.85"/>
    <n v="14.85"/>
    <x v="1"/>
    <x v="1"/>
    <x v="0"/>
  </r>
  <r>
    <s v="NCH-55389-562"/>
    <x v="110"/>
    <x v="857"/>
    <s v="A-L-0.2"/>
    <n v="2"/>
    <x v="857"/>
    <s v=""/>
    <x v="0"/>
    <x v="2"/>
    <s v="L"/>
    <x v="3"/>
    <n v="3.8849999999999998"/>
    <n v="7.77"/>
    <x v="2"/>
    <x v="1"/>
    <x v="0"/>
  </r>
  <r>
    <s v="GUG-45603-775"/>
    <x v="668"/>
    <x v="876"/>
    <s v="L-L-0.2"/>
    <n v="5"/>
    <x v="876"/>
    <s v="rstrathernqn@devhub.com"/>
    <x v="0"/>
    <x v="3"/>
    <s v="L"/>
    <x v="3"/>
    <n v="4.7549999999999999"/>
    <n v="23.774999999999999"/>
    <x v="3"/>
    <x v="1"/>
    <x v="0"/>
  </r>
  <r>
    <s v="KJB-98240-098"/>
    <x v="422"/>
    <x v="877"/>
    <s v="L-L-1"/>
    <n v="5"/>
    <x v="877"/>
    <s v="cmiguelqo@exblog.jp"/>
    <x v="0"/>
    <x v="3"/>
    <s v="L"/>
    <x v="0"/>
    <n v="15.85"/>
    <n v="79.25"/>
    <x v="3"/>
    <x v="1"/>
    <x v="0"/>
  </r>
  <r>
    <s v="JMS-48374-462"/>
    <x v="669"/>
    <x v="878"/>
    <s v="A-D-2.5"/>
    <n v="2"/>
    <x v="878"/>
    <s v=""/>
    <x v="0"/>
    <x v="2"/>
    <s v="D"/>
    <x v="2"/>
    <n v="22.884999999999998"/>
    <n v="45.769999999999996"/>
    <x v="2"/>
    <x v="2"/>
    <x v="0"/>
  </r>
  <r>
    <s v="YIT-15877-117"/>
    <x v="670"/>
    <x v="879"/>
    <s v="R-D-1"/>
    <n v="1"/>
    <x v="879"/>
    <s v="mrocksqq@exblog.jp"/>
    <x v="1"/>
    <x v="0"/>
    <s v="D"/>
    <x v="0"/>
    <n v="8.9499999999999993"/>
    <n v="8.9499999999999993"/>
    <x v="0"/>
    <x v="2"/>
    <x v="0"/>
  </r>
  <r>
    <s v="YVK-82679-655"/>
    <x v="341"/>
    <x v="880"/>
    <s v="R-M-0.5"/>
    <n v="4"/>
    <x v="880"/>
    <s v="yburrellsqr@vinaora.com"/>
    <x v="0"/>
    <x v="0"/>
    <s v="M"/>
    <x v="1"/>
    <n v="5.97"/>
    <n v="23.88"/>
    <x v="0"/>
    <x v="0"/>
    <x v="0"/>
  </r>
  <r>
    <s v="TYH-81940-054"/>
    <x v="671"/>
    <x v="881"/>
    <s v="E-L-0.2"/>
    <n v="5"/>
    <x v="881"/>
    <s v="cgoodrumqs@goodreads.com"/>
    <x v="0"/>
    <x v="1"/>
    <s v="L"/>
    <x v="3"/>
    <n v="4.4550000000000001"/>
    <n v="22.274999999999999"/>
    <x v="1"/>
    <x v="1"/>
    <x v="1"/>
  </r>
  <r>
    <s v="HTY-30660-254"/>
    <x v="672"/>
    <x v="882"/>
    <s v="R-M-1"/>
    <n v="3"/>
    <x v="882"/>
    <s v="jjefferysqt@blog.com"/>
    <x v="0"/>
    <x v="0"/>
    <s v="M"/>
    <x v="0"/>
    <n v="9.9499999999999993"/>
    <n v="29.849999999999998"/>
    <x v="0"/>
    <x v="0"/>
    <x v="0"/>
  </r>
  <r>
    <s v="GPW-43956-761"/>
    <x v="673"/>
    <x v="883"/>
    <s v="E-L-0.5"/>
    <n v="6"/>
    <x v="883"/>
    <s v="bwardellqu@adobe.com"/>
    <x v="0"/>
    <x v="1"/>
    <s v="L"/>
    <x v="1"/>
    <n v="8.91"/>
    <n v="53.46"/>
    <x v="1"/>
    <x v="1"/>
    <x v="0"/>
  </r>
  <r>
    <s v="DWY-56352-412"/>
    <x v="674"/>
    <x v="884"/>
    <s v="R-D-0.2"/>
    <n v="1"/>
    <x v="884"/>
    <s v="zwalisiakqv@ucsd.edu"/>
    <x v="1"/>
    <x v="0"/>
    <s v="D"/>
    <x v="3"/>
    <n v="2.6849999999999996"/>
    <n v="2.6849999999999996"/>
    <x v="0"/>
    <x v="2"/>
    <x v="0"/>
  </r>
  <r>
    <s v="PUH-55647-976"/>
    <x v="675"/>
    <x v="885"/>
    <s v="R-M-0.2"/>
    <n v="2"/>
    <x v="885"/>
    <s v="wleopoldqw@blogspot.com"/>
    <x v="0"/>
    <x v="0"/>
    <s v="M"/>
    <x v="3"/>
    <n v="2.9849999999999999"/>
    <n v="5.97"/>
    <x v="0"/>
    <x v="0"/>
    <x v="1"/>
  </r>
  <r>
    <s v="DTB-71371-705"/>
    <x v="539"/>
    <x v="886"/>
    <s v="L-D-1"/>
    <n v="1"/>
    <x v="886"/>
    <s v="cshaldersqx@cisco.com"/>
    <x v="0"/>
    <x v="3"/>
    <s v="D"/>
    <x v="0"/>
    <n v="12.95"/>
    <n v="12.95"/>
    <x v="3"/>
    <x v="2"/>
    <x v="0"/>
  </r>
  <r>
    <s v="ZDC-64769-740"/>
    <x v="676"/>
    <x v="887"/>
    <s v="E-M-0.5"/>
    <n v="1"/>
    <x v="887"/>
    <s v=""/>
    <x v="0"/>
    <x v="1"/>
    <s v="M"/>
    <x v="1"/>
    <n v="8.25"/>
    <n v="8.25"/>
    <x v="1"/>
    <x v="0"/>
    <x v="1"/>
  </r>
  <r>
    <s v="TED-81959-419"/>
    <x v="677"/>
    <x v="888"/>
    <s v="A-L-2.5"/>
    <n v="5"/>
    <x v="888"/>
    <s v="nfurberqz@jugem.jp"/>
    <x v="0"/>
    <x v="2"/>
    <s v="L"/>
    <x v="2"/>
    <n v="29.784999999999997"/>
    <n v="148.92499999999998"/>
    <x v="2"/>
    <x v="1"/>
    <x v="1"/>
  </r>
  <r>
    <s v="FDO-25756-141"/>
    <x v="629"/>
    <x v="889"/>
    <s v="A-L-2.5"/>
    <n v="3"/>
    <x v="889"/>
    <s v=""/>
    <x v="1"/>
    <x v="2"/>
    <s v="L"/>
    <x v="2"/>
    <n v="29.784999999999997"/>
    <n v="89.35499999999999"/>
    <x v="2"/>
    <x v="1"/>
    <x v="0"/>
  </r>
  <r>
    <s v="HKN-31467-517"/>
    <x v="662"/>
    <x v="890"/>
    <s v="L-M-1"/>
    <n v="6"/>
    <x v="890"/>
    <s v="ckeaver1@ucoz.com"/>
    <x v="0"/>
    <x v="3"/>
    <s v="M"/>
    <x v="0"/>
    <n v="14.55"/>
    <n v="87.300000000000011"/>
    <x v="3"/>
    <x v="0"/>
    <x v="1"/>
  </r>
  <r>
    <s v="POF-29666-012"/>
    <x v="102"/>
    <x v="891"/>
    <s v="R-D-0.5"/>
    <n v="1"/>
    <x v="891"/>
    <s v="sroseboroughr2@virginia.edu"/>
    <x v="0"/>
    <x v="0"/>
    <s v="D"/>
    <x v="1"/>
    <n v="5.3699999999999992"/>
    <n v="5.3699999999999992"/>
    <x v="0"/>
    <x v="2"/>
    <x v="0"/>
  </r>
  <r>
    <s v="IRX-59256-644"/>
    <x v="678"/>
    <x v="892"/>
    <s v="A-D-0.2"/>
    <n v="3"/>
    <x v="892"/>
    <s v="ckingwellr3@squarespace.com"/>
    <x v="1"/>
    <x v="2"/>
    <s v="D"/>
    <x v="3"/>
    <n v="2.9849999999999999"/>
    <n v="8.9550000000000001"/>
    <x v="2"/>
    <x v="2"/>
    <x v="0"/>
  </r>
  <r>
    <s v="LTN-89139-350"/>
    <x v="679"/>
    <x v="893"/>
    <s v="R-L-2.5"/>
    <n v="5"/>
    <x v="893"/>
    <s v="kcantor4@gmpg.org"/>
    <x v="0"/>
    <x v="0"/>
    <s v="L"/>
    <x v="2"/>
    <n v="27.484999999999996"/>
    <n v="137.42499999999998"/>
    <x v="0"/>
    <x v="1"/>
    <x v="0"/>
  </r>
  <r>
    <s v="TXF-79780-017"/>
    <x v="112"/>
    <x v="894"/>
    <s v="R-L-1"/>
    <n v="5"/>
    <x v="894"/>
    <s v="mblakemorer5@nsw.gov.au"/>
    <x v="0"/>
    <x v="0"/>
    <s v="L"/>
    <x v="0"/>
    <n v="11.95"/>
    <n v="59.75"/>
    <x v="0"/>
    <x v="1"/>
    <x v="1"/>
  </r>
  <r>
    <s v="ALM-80762-974"/>
    <x v="55"/>
    <x v="890"/>
    <s v="A-L-0.5"/>
    <n v="3"/>
    <x v="890"/>
    <s v="ckeaver1@ucoz.com"/>
    <x v="0"/>
    <x v="2"/>
    <s v="L"/>
    <x v="1"/>
    <n v="7.77"/>
    <n v="23.31"/>
    <x v="2"/>
    <x v="1"/>
    <x v="1"/>
  </r>
  <r>
    <s v="NXF-15738-707"/>
    <x v="680"/>
    <x v="895"/>
    <s v="R-D-0.5"/>
    <n v="2"/>
    <x v="895"/>
    <s v=""/>
    <x v="0"/>
    <x v="0"/>
    <s v="D"/>
    <x v="1"/>
    <n v="5.3699999999999992"/>
    <n v="10.739999999999998"/>
    <x v="0"/>
    <x v="2"/>
    <x v="1"/>
  </r>
  <r>
    <s v="MVV-19034-198"/>
    <x v="94"/>
    <x v="896"/>
    <s v="E-D-2.5"/>
    <n v="6"/>
    <x v="896"/>
    <s v=""/>
    <x v="0"/>
    <x v="1"/>
    <s v="D"/>
    <x v="2"/>
    <n v="27.945"/>
    <n v="167.67000000000002"/>
    <x v="1"/>
    <x v="2"/>
    <x v="0"/>
  </r>
  <r>
    <s v="KUX-19632-830"/>
    <x v="160"/>
    <x v="897"/>
    <s v="E-D-0.2"/>
    <n v="6"/>
    <x v="897"/>
    <s v="cbernardotr9@wix.com"/>
    <x v="0"/>
    <x v="1"/>
    <s v="D"/>
    <x v="3"/>
    <n v="3.645"/>
    <n v="21.87"/>
    <x v="1"/>
    <x v="2"/>
    <x v="0"/>
  </r>
  <r>
    <s v="SNZ-44595-152"/>
    <x v="681"/>
    <x v="898"/>
    <s v="R-L-1"/>
    <n v="2"/>
    <x v="898"/>
    <s v="kkemeryra@t.co"/>
    <x v="0"/>
    <x v="0"/>
    <s v="L"/>
    <x v="0"/>
    <n v="11.95"/>
    <n v="23.9"/>
    <x v="0"/>
    <x v="1"/>
    <x v="0"/>
  </r>
  <r>
    <s v="GQA-37241-629"/>
    <x v="502"/>
    <x v="899"/>
    <s v="A-M-0.2"/>
    <n v="2"/>
    <x v="899"/>
    <s v="fparlotrb@forbes.com"/>
    <x v="0"/>
    <x v="2"/>
    <s v="M"/>
    <x v="3"/>
    <n v="3.375"/>
    <n v="6.75"/>
    <x v="2"/>
    <x v="0"/>
    <x v="0"/>
  </r>
  <r>
    <s v="WVV-79948-067"/>
    <x v="682"/>
    <x v="900"/>
    <s v="E-M-2.5"/>
    <n v="1"/>
    <x v="900"/>
    <s v="rcheakrc@tripadvisor.com"/>
    <x v="1"/>
    <x v="1"/>
    <s v="M"/>
    <x v="2"/>
    <n v="31.624999999999996"/>
    <n v="31.624999999999996"/>
    <x v="1"/>
    <x v="0"/>
    <x v="0"/>
  </r>
  <r>
    <s v="LHX-81117-166"/>
    <x v="683"/>
    <x v="901"/>
    <s v="R-L-1"/>
    <n v="4"/>
    <x v="901"/>
    <s v="kogeneayrd@utexas.edu"/>
    <x v="0"/>
    <x v="0"/>
    <s v="L"/>
    <x v="0"/>
    <n v="11.95"/>
    <n v="47.8"/>
    <x v="0"/>
    <x v="1"/>
    <x v="1"/>
  </r>
  <r>
    <s v="GCD-75444-320"/>
    <x v="594"/>
    <x v="902"/>
    <s v="L-M-2.5"/>
    <n v="1"/>
    <x v="902"/>
    <s v="cayrere@symantec.com"/>
    <x v="0"/>
    <x v="3"/>
    <s v="M"/>
    <x v="2"/>
    <n v="33.464999999999996"/>
    <n v="33.464999999999996"/>
    <x v="3"/>
    <x v="0"/>
    <x v="1"/>
  </r>
  <r>
    <s v="SGA-30059-217"/>
    <x v="389"/>
    <x v="903"/>
    <s v="A-D-0.5"/>
    <n v="5"/>
    <x v="903"/>
    <s v="lkynetonrf@macromedia.com"/>
    <x v="2"/>
    <x v="2"/>
    <s v="D"/>
    <x v="1"/>
    <n v="5.97"/>
    <n v="29.849999999999998"/>
    <x v="2"/>
    <x v="2"/>
    <x v="0"/>
  </r>
  <r>
    <s v="GNL-98714-885"/>
    <x v="583"/>
    <x v="904"/>
    <s v="R-M-1"/>
    <n v="3"/>
    <x v="904"/>
    <s v=""/>
    <x v="2"/>
    <x v="0"/>
    <s v="M"/>
    <x v="0"/>
    <n v="9.9499999999999993"/>
    <n v="29.849999999999998"/>
    <x v="0"/>
    <x v="0"/>
    <x v="0"/>
  </r>
  <r>
    <s v="OQA-93249-841"/>
    <x v="647"/>
    <x v="905"/>
    <s v="A-M-2.5"/>
    <n v="6"/>
    <x v="905"/>
    <s v=""/>
    <x v="0"/>
    <x v="2"/>
    <s v="M"/>
    <x v="2"/>
    <n v="25.874999999999996"/>
    <n v="155.24999999999997"/>
    <x v="2"/>
    <x v="0"/>
    <x v="0"/>
  </r>
  <r>
    <s v="DUV-12075-132"/>
    <x v="366"/>
    <x v="906"/>
    <s v="E-D-0.2"/>
    <n v="5"/>
    <x v="906"/>
    <s v=""/>
    <x v="0"/>
    <x v="1"/>
    <s v="D"/>
    <x v="3"/>
    <n v="3.645"/>
    <n v="18.225000000000001"/>
    <x v="1"/>
    <x v="2"/>
    <x v="1"/>
  </r>
  <r>
    <s v="DUV-12075-132"/>
    <x v="366"/>
    <x v="906"/>
    <s v="L-D-0.5"/>
    <n v="2"/>
    <x v="906"/>
    <s v=""/>
    <x v="0"/>
    <x v="3"/>
    <s v="D"/>
    <x v="1"/>
    <n v="7.77"/>
    <n v="15.54"/>
    <x v="3"/>
    <x v="2"/>
    <x v="1"/>
  </r>
  <r>
    <s v="KPO-24942-184"/>
    <x v="684"/>
    <x v="907"/>
    <s v="L-L-2.5"/>
    <n v="3"/>
    <x v="907"/>
    <s v=""/>
    <x v="1"/>
    <x v="3"/>
    <s v="L"/>
    <x v="2"/>
    <n v="36.454999999999998"/>
    <n v="109.36499999999999"/>
    <x v="3"/>
    <x v="1"/>
    <x v="1"/>
  </r>
  <r>
    <s v="SRJ-79353-838"/>
    <x v="506"/>
    <x v="908"/>
    <s v="A-L-1"/>
    <n v="6"/>
    <x v="908"/>
    <s v=""/>
    <x v="0"/>
    <x v="2"/>
    <s v="L"/>
    <x v="0"/>
    <n v="12.95"/>
    <n v="77.699999999999989"/>
    <x v="2"/>
    <x v="1"/>
    <x v="1"/>
  </r>
  <r>
    <s v="XBV-40336-071"/>
    <x v="685"/>
    <x v="909"/>
    <s v="A-D-0.2"/>
    <n v="3"/>
    <x v="909"/>
    <s v=""/>
    <x v="1"/>
    <x v="2"/>
    <s v="D"/>
    <x v="3"/>
    <n v="2.9849999999999999"/>
    <n v="8.9550000000000001"/>
    <x v="2"/>
    <x v="2"/>
    <x v="1"/>
  </r>
  <r>
    <s v="RLM-96511-467"/>
    <x v="191"/>
    <x v="910"/>
    <s v="R-L-2.5"/>
    <n v="1"/>
    <x v="910"/>
    <s v="jtewelsonrn@samsung.com"/>
    <x v="0"/>
    <x v="0"/>
    <s v="L"/>
    <x v="2"/>
    <n v="27.484999999999996"/>
    <n v="27.484999999999996"/>
    <x v="0"/>
    <x v="1"/>
    <x v="1"/>
  </r>
  <r>
    <s v="AEZ-13242-456"/>
    <x v="686"/>
    <x v="906"/>
    <s v="R-M-0.5"/>
    <n v="5"/>
    <x v="906"/>
    <s v=""/>
    <x v="0"/>
    <x v="0"/>
    <s v="M"/>
    <x v="1"/>
    <n v="5.97"/>
    <n v="29.849999999999998"/>
    <x v="0"/>
    <x v="0"/>
    <x v="1"/>
  </r>
  <r>
    <s v="UME-75640-698"/>
    <x v="687"/>
    <x v="906"/>
    <s v="A-M-0.5"/>
    <n v="4"/>
    <x v="906"/>
    <s v=""/>
    <x v="0"/>
    <x v="2"/>
    <s v="M"/>
    <x v="1"/>
    <n v="6.75"/>
    <n v="27"/>
    <x v="2"/>
    <x v="0"/>
    <x v="1"/>
  </r>
  <r>
    <s v="GJC-66474-557"/>
    <x v="629"/>
    <x v="911"/>
    <s v="A-D-1"/>
    <n v="1"/>
    <x v="911"/>
    <s v="njennyrq@bigcartel.com"/>
    <x v="0"/>
    <x v="2"/>
    <s v="D"/>
    <x v="0"/>
    <n v="9.9499999999999993"/>
    <n v="9.9499999999999993"/>
    <x v="2"/>
    <x v="2"/>
    <x v="1"/>
  </r>
  <r>
    <s v="IRV-20769-219"/>
    <x v="688"/>
    <x v="912"/>
    <s v="E-M-0.2"/>
    <n v="3"/>
    <x v="912"/>
    <s v=""/>
    <x v="2"/>
    <x v="1"/>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6035EE-6E7A-4337-BE7D-65236E378630}" name="KPI Quant Sol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dataField="1" showAll="0"/>
    <pivotField showAll="0"/>
    <pivotField showAll="0"/>
    <pivotField showAll="0"/>
    <pivotField showAll="0"/>
    <pivotField showAll="0"/>
    <pivotField numFmtId="166" showAll="0">
      <items count="5">
        <item x="3"/>
        <item x="1"/>
        <item x="0"/>
        <item x="2"/>
        <item t="default"/>
      </items>
    </pivotField>
    <pivotField numFmtId="167" showAll="0"/>
    <pivotField numFmtId="167"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Items count="1">
    <i/>
  </rowItems>
  <colItems count="1">
    <i/>
  </colItems>
  <dataFields count="1">
    <dataField name="Total Quantity Sold" fld="4" baseField="0" baseItem="0" numFmtId="3"/>
  </dataFields>
  <formats count="1">
    <format dxfId="7">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AAA4AC-305E-4705-87E5-A7ADB997E2A8}" name="KPI Total 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6:A17" firstHeaderRow="1" firstDataRow="1" firstDataCol="0"/>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dataField="1" showAl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numFmtId="166" showAll="0">
      <items count="5">
        <item x="3"/>
        <item x="1"/>
        <item x="0"/>
        <item x="2"/>
        <item t="default"/>
      </items>
    </pivotField>
    <pivotField numFmtId="167" showAll="0"/>
    <pivotField numFmtId="167"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Items count="1">
    <i/>
  </rowItems>
  <colItems count="1">
    <i/>
  </colItems>
  <dataFields count="1">
    <dataField name="Total Orders" fld="5" subtotal="count" baseField="0" baseItem="0" numFmtId="3"/>
  </dataFields>
  <formats count="1">
    <format dxfId="8">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78A9AC-F4E9-4159-8F29-8511FC22EE84}" name="KPI Total 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A9" firstHeaderRow="1" firstDataRow="1" firstDataCol="0"/>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Items count="1">
    <i/>
  </rowItems>
  <colItems count="1">
    <i/>
  </colItems>
  <dataFields count="1">
    <dataField name="Total Revenue" fld="12" baseField="0" baseItem="0" numFmtId="170"/>
  </dataFields>
  <formats count="1">
    <format dxfId="9">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C49051-1346-4AB8-BD64-5FE63E3DECCD}"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77:C121" firstHeaderRow="1" firstDataRow="1"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Items count="1">
    <i/>
  </colItems>
  <dataFields count="1">
    <dataField name="Sum of Sales" fld="12" baseField="15" baseItem="2" numFmtId="168"/>
  </dataFields>
  <chartFormats count="3">
    <chartFormat chart="0" format="4"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F55CCB-8457-4315-97D2-69E1DD59F4B7}"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168"/>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1">
          <reference field="4294967294" count="1" selected="0">
            <x v="0"/>
          </reference>
        </references>
      </pivotArea>
    </chartFormat>
    <chartFormat chart="8" format="9" series="1">
      <pivotArea type="data" outline="0" fieldPosition="0">
        <references count="2">
          <reference field="4294967294" count="1" selected="0">
            <x v="0"/>
          </reference>
          <reference field="13" count="1" selected="0">
            <x v="0"/>
          </reference>
        </references>
      </pivotArea>
    </chartFormat>
    <chartFormat chart="8" format="10" series="1">
      <pivotArea type="data" outline="0" fieldPosition="0">
        <references count="2">
          <reference field="4294967294" count="1" selected="0">
            <x v="0"/>
          </reference>
          <reference field="13" count="1" selected="0">
            <x v="1"/>
          </reference>
        </references>
      </pivotArea>
    </chartFormat>
    <chartFormat chart="8" format="11" series="1">
      <pivotArea type="data" outline="0" fieldPosition="0">
        <references count="2">
          <reference field="4294967294" count="1" selected="0">
            <x v="0"/>
          </reference>
          <reference field="13" count="1" selected="0">
            <x v="2"/>
          </reference>
        </references>
      </pivotArea>
    </chartFormat>
    <chartFormat chart="8" format="12" series="1">
      <pivotArea type="data" outline="0" fieldPosition="0">
        <references count="2">
          <reference field="4294967294" count="1" selected="0">
            <x v="0"/>
          </reference>
          <reference field="13" count="1" selected="0">
            <x v="3"/>
          </reference>
        </references>
      </pivotArea>
    </chartFormat>
    <chartFormat chart="8"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85028D-C28D-41A5-BBD4-B7853490EFFE}"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54:B6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16"/>
  </rowFields>
  <rowItems count="12">
    <i>
      <x v="1"/>
    </i>
    <i>
      <x v="2"/>
    </i>
    <i>
      <x v="3"/>
    </i>
    <i>
      <x v="4"/>
    </i>
    <i>
      <x v="5"/>
    </i>
    <i>
      <x v="6"/>
    </i>
    <i>
      <x v="7"/>
    </i>
    <i>
      <x v="8"/>
    </i>
    <i>
      <x v="9"/>
    </i>
    <i>
      <x v="10"/>
    </i>
    <i>
      <x v="11"/>
    </i>
    <i>
      <x v="12"/>
    </i>
  </rowItems>
  <colItems count="1">
    <i/>
  </colItems>
  <dataFields count="1">
    <dataField name="Sum of Sales" fld="12" baseField="15" baseItem="2" numFmtId="168"/>
  </dataFields>
  <chartFormats count="3">
    <chartFormat chart="0" format="4"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042EE7-D5F3-4A81-9BB0-40F407B73826}" name="country rev"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2" numFmtId="169"/>
  </dataFields>
  <formats count="2">
    <format dxfId="6">
      <pivotArea outline="0" fieldPosition="0">
        <references count="1">
          <reference field="7" count="1" selected="0">
            <x v="2"/>
          </reference>
        </references>
      </pivotArea>
    </format>
    <format dxfId="5">
      <pivotArea outline="0" collapsedLevelsAreSubtotals="1" fieldPosition="0"/>
    </format>
  </formats>
  <chartFormats count="8">
    <chartFormat chart="0" format="4"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1"/>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1"/>
          </reference>
        </references>
      </pivotArea>
    </chartFormat>
    <chartFormat chart="10"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DB09C2-5510-43B2-80F8-A2498E9FAC2E}" name="customer quantit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8" firstHeaderRow="1" firstDataRow="1" firstDataCol="1"/>
  <pivotFields count="18">
    <pivotField showAll="0" defaultSubtotal="0"/>
    <pivotField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dataField="1" showAll="0" defaultSubtotal="0"/>
    <pivotField axis="axisRow" showAll="0" measureFilter="1" sortType="de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pivotField numFmtId="166" showAll="0" defaultSubtotal="0"/>
    <pivotField numFmtId="167" showAll="0" defaultSubtotal="0"/>
    <pivotField numFmtId="167" showAll="0" defaultSubtotal="0"/>
    <pivotField showAll="0" defaultSubtotal="0">
      <items count="4">
        <item x="2"/>
        <item x="1"/>
        <item x="3"/>
        <item x="0"/>
      </items>
    </pivotField>
    <pivotField showAll="0" defaultSubtotal="0"/>
    <pivotField showAll="0" defaultSubtotal="0"/>
    <pivotField showAll="0" defaultSubtotal="0"/>
    <pivotField showAll="0" defaultSubtotal="0">
      <items count="6">
        <item x="0"/>
        <item x="1"/>
        <item x="2"/>
        <item x="3"/>
        <item x="4"/>
        <item x="5"/>
      </items>
    </pivotField>
  </pivotFields>
  <rowFields count="1">
    <field x="5"/>
  </rowFields>
  <rowItems count="5">
    <i>
      <x v="831"/>
    </i>
    <i>
      <x v="646"/>
    </i>
    <i>
      <x v="462"/>
    </i>
    <i>
      <x v="12"/>
    </i>
    <i>
      <x v="583"/>
    </i>
  </rowItems>
  <colItems count="1">
    <i/>
  </colItems>
  <dataFields count="1">
    <dataField name="Total Quantity" fld="4" baseField="5" baseItem="831"/>
  </dataFields>
  <pivotTableStyleInfo name="PivotStyleMedium9"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DE4C58-28FA-4480-AEAA-2FF8EF98E43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3:C35" firstHeaderRow="0" firstDataRow="1" firstDataCol="1"/>
  <pivotFields count="18">
    <pivotField showAll="0" defaultSubtotal="0"/>
    <pivotField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dataField="1" showAll="0" defaultSubtotal="0"/>
    <pivotField showAll="0"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showAll="0" defaultSubtotal="0"/>
    <pivotField showAll="0" defaultSubtotal="0"/>
    <pivotField showAll="0" defaultSubtotal="0"/>
    <pivotField showAll="0" defaultSubtotal="0"/>
    <pivotField numFmtId="166" showAll="0" defaultSubtotal="0"/>
    <pivotField numFmtId="167" showAll="0" defaultSubtotal="0"/>
    <pivotField dataField="1" numFmtId="167" showAll="0" defaultSubtotal="0"/>
    <pivotField showAll="0" defaultSubtotal="0">
      <items count="4">
        <item x="2"/>
        <item x="1"/>
        <item x="3"/>
        <item x="0"/>
      </items>
    </pivotField>
    <pivotField showAll="0" defaultSubtotal="0"/>
    <pivotField axis="axisRow" showAll="0" defaultSubtotal="0">
      <items count="2">
        <item x="1"/>
        <item x="0"/>
      </items>
    </pivotField>
    <pivotField showAll="0" defaultSubtotal="0"/>
    <pivotField showAll="0" defaultSubtotal="0">
      <items count="6">
        <item x="0"/>
        <item x="1"/>
        <item x="2"/>
        <item x="3"/>
        <item x="4"/>
        <item x="5"/>
      </items>
    </pivotField>
  </pivotFields>
  <rowFields count="1">
    <field x="15"/>
  </rowFields>
  <rowItems count="2">
    <i>
      <x/>
    </i>
    <i>
      <x v="1"/>
    </i>
  </rowItems>
  <colFields count="1">
    <field x="-2"/>
  </colFields>
  <colItems count="2">
    <i>
      <x/>
    </i>
    <i i="1">
      <x v="1"/>
    </i>
  </colItems>
  <dataFields count="2">
    <dataField name="Sum of Sales" fld="12" baseField="0" baseItem="0" numFmtId="167"/>
    <dataField name="Sum of Quantity" fld="4"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F0D59D-49FA-4E00-98CA-9ABEDA6AE738}" name="customer revenu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A14:B19" firstHeaderRow="1" firstDataRow="1" firstDataCol="1"/>
  <pivotFields count="18">
    <pivotField showAll="0" defaultSubtotal="0"/>
    <pivotField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showAll="0" defaultSubtotal="0"/>
    <pivotField axis="axisRow" showAll="0" measureFilter="1" sortType="de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pivotField numFmtId="166" showAll="0" defaultSubtotal="0">
      <items count="4">
        <item x="3"/>
        <item x="1"/>
        <item x="0"/>
        <item x="2"/>
      </items>
    </pivotField>
    <pivotField numFmtId="167" showAll="0" defaultSubtotal="0"/>
    <pivotField dataField="1" numFmtId="167" showAll="0" defaultSubtotal="0"/>
    <pivotField showAll="0" defaultSubtotal="0">
      <items count="4">
        <item x="2"/>
        <item x="1"/>
        <item x="3"/>
        <item x="0"/>
      </items>
    </pivotField>
    <pivotField showAll="0" defaultSubtotal="0">
      <items count="3">
        <item x="2"/>
        <item x="1"/>
        <item x="0"/>
      </items>
    </pivotField>
    <pivotField showAll="0" defaultSubtotal="0">
      <items count="2">
        <item x="1"/>
        <item x="0"/>
      </items>
    </pivotField>
    <pivotField showAll="0" defaultSubtotal="0"/>
    <pivotField showAll="0" defaultSubtotal="0">
      <items count="6">
        <item x="0"/>
        <item x="1"/>
        <item x="2"/>
        <item x="3"/>
        <item x="4"/>
        <item x="5"/>
      </items>
    </pivotField>
  </pivotFields>
  <rowFields count="1">
    <field x="5"/>
  </rowFields>
  <rowItems count="5">
    <i>
      <x v="28"/>
    </i>
    <i>
      <x v="125"/>
    </i>
    <i>
      <x v="831"/>
    </i>
    <i>
      <x v="646"/>
    </i>
    <i>
      <x v="255"/>
    </i>
  </rowItems>
  <colItems count="1">
    <i/>
  </colItems>
  <dataFields count="1">
    <dataField name="Total Revenue" fld="12" baseField="5" baseItem="28" numFmtId="167"/>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16359B-E006-464B-97B9-4F7EDB533D80}" name="roast type quan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4:B3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dataField="1" compact="0" outline="0" showAll="0" defaultSubtotal="0"/>
    <pivotField compact="0" outline="0" showAll="0"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defaultSubtotal="0"/>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compact="0" numFmtId="167" outline="0" showAll="0" defaultSubtotal="0"/>
    <pivotField compact="0" outline="0" showAll="0" defaultSubtotal="0">
      <items count="4">
        <item x="2"/>
        <item x="1"/>
        <item x="3"/>
        <item x="0"/>
      </items>
    </pivotField>
    <pivotField axis="axisRow"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14"/>
  </rowFields>
  <rowItems count="3">
    <i>
      <x/>
    </i>
    <i>
      <x v="1"/>
    </i>
    <i>
      <x v="2"/>
    </i>
  </rowItems>
  <colItems count="1">
    <i/>
  </colItems>
  <dataFields count="1">
    <dataField name="Sum of Quantity" fld="4"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4" count="1" selected="0">
            <x v="0"/>
          </reference>
        </references>
      </pivotArea>
    </chartFormat>
    <chartFormat chart="3" format="2">
      <pivotArea type="data" outline="0" fieldPosition="0">
        <references count="2">
          <reference field="4294967294" count="1" selected="0">
            <x v="0"/>
          </reference>
          <reference field="14" count="1" selected="0">
            <x v="1"/>
          </reference>
        </references>
      </pivotArea>
    </chartFormat>
    <chartFormat chart="3" format="3">
      <pivotArea type="data" outline="0" fieldPosition="0">
        <references count="2">
          <reference field="4294967294" count="1" selected="0">
            <x v="0"/>
          </reference>
          <reference field="14"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4" count="1" selected="0">
            <x v="0"/>
          </reference>
        </references>
      </pivotArea>
    </chartFormat>
    <chartFormat chart="5" format="10">
      <pivotArea type="data" outline="0" fieldPosition="0">
        <references count="2">
          <reference field="4294967294" count="1" selected="0">
            <x v="0"/>
          </reference>
          <reference field="14" count="1" selected="0">
            <x v="1"/>
          </reference>
        </references>
      </pivotArea>
    </chartFormat>
    <chartFormat chart="5" format="11">
      <pivotArea type="data" outline="0" fieldPosition="0">
        <references count="2">
          <reference field="4294967294" count="1" selected="0">
            <x v="0"/>
          </reference>
          <reference field="1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78F88B-538E-4A78-8653-929C11A7D0DA}" name="prod rev and quan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
  <location ref="A4:C8" firstHeaderRow="0" firstDataRow="1" firstDataCol="1"/>
  <pivotFields count="18">
    <pivotField showAll="0" defaultSubtotal="0"/>
    <pivotField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dataField="1" showAll="0" defaultSubtotal="0"/>
    <pivotField showAll="0"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showAll="0" defaultSubtotal="0"/>
    <pivotField showAll="0" defaultSubtotal="0"/>
    <pivotField showAll="0" defaultSubtotal="0">
      <items count="4">
        <item x="2"/>
        <item x="1"/>
        <item x="3"/>
        <item x="0"/>
      </items>
    </pivotField>
    <pivotField showAll="0" defaultSubtotal="0"/>
    <pivotField numFmtId="166" showAll="0" defaultSubtotal="0">
      <items count="4">
        <item x="3"/>
        <item x="1"/>
        <item x="0"/>
        <item x="2"/>
      </items>
    </pivotField>
    <pivotField numFmtId="167" showAll="0" defaultSubtotal="0"/>
    <pivotField dataField="1" numFmtId="167" showAll="0" defaultSubtotal="0"/>
    <pivotField axis="axisRow" showAll="0" sortType="descending" defaultSubtotal="0">
      <items count="4">
        <item x="2"/>
        <item x="1"/>
        <item x="3"/>
        <item x="0"/>
      </items>
      <autoSortScope>
        <pivotArea dataOnly="0" outline="0" fieldPosition="0">
          <references count="1">
            <reference field="4294967294" count="1" selected="0">
              <x v="0"/>
            </reference>
          </references>
        </pivotArea>
      </autoSortScope>
    </pivotField>
    <pivotField showAll="0" defaultSubtotal="0">
      <items count="3">
        <item x="2"/>
        <item x="1"/>
        <item x="0"/>
      </items>
    </pivotField>
    <pivotField showAll="0" defaultSubtotal="0">
      <items count="2">
        <item x="1"/>
        <item x="0"/>
      </items>
    </pivotField>
    <pivotField showAll="0" defaultSubtotal="0"/>
    <pivotField showAll="0" defaultSubtotal="0">
      <items count="6">
        <item x="0"/>
        <item x="1"/>
        <item x="2"/>
        <item x="3"/>
        <item x="4"/>
        <item x="5"/>
      </items>
    </pivotField>
  </pivotFields>
  <rowFields count="1">
    <field x="13"/>
  </rowFields>
  <rowItems count="4">
    <i>
      <x v="1"/>
    </i>
    <i>
      <x v="2"/>
    </i>
    <i>
      <x/>
    </i>
    <i>
      <x v="3"/>
    </i>
  </rowItems>
  <colFields count="1">
    <field x="-2"/>
  </colFields>
  <colItems count="2">
    <i>
      <x/>
    </i>
    <i i="1">
      <x v="1"/>
    </i>
  </colItems>
  <dataFields count="2">
    <dataField name="Revenue" fld="12" baseField="13" baseItem="1" numFmtId="167"/>
    <dataField name="Sum of Quantity"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E3D3E95-C99E-4898-96FA-F727639875D3}" name="Size quan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5:B29" firstHeaderRow="1" firstDataRow="1" firstDataCol="1"/>
  <pivotFields count="18">
    <pivotField showAll="0" defaultSubtotal="0"/>
    <pivotField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dataField="1" showAll="0" defaultSubtotal="0"/>
    <pivotField showAll="0"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showAll="0" defaultSubtotal="0"/>
    <pivotField showAll="0" defaultSubtotal="0"/>
    <pivotField showAll="0" defaultSubtotal="0">
      <items count="4">
        <item x="2"/>
        <item x="1"/>
        <item x="3"/>
        <item x="0"/>
      </items>
    </pivotField>
    <pivotField showAll="0" defaultSubtotal="0"/>
    <pivotField axis="axisRow" numFmtId="166" showAll="0" defaultSubtotal="0">
      <items count="4">
        <item x="3"/>
        <item x="1"/>
        <item x="0"/>
        <item x="2"/>
      </items>
    </pivotField>
    <pivotField numFmtId="167" showAll="0" defaultSubtotal="0"/>
    <pivotField numFmtId="167" showAll="0" defaultSubtotal="0"/>
    <pivotField showAll="0" sortType="descending" defaultSubtotal="0">
      <items count="4">
        <item x="2"/>
        <item x="1"/>
        <item x="3"/>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items count="6">
        <item x="0"/>
        <item x="1"/>
        <item x="2"/>
        <item x="3"/>
        <item x="4"/>
        <item x="5"/>
      </items>
    </pivotField>
  </pivotFields>
  <rowFields count="1">
    <field x="10"/>
  </rowFields>
  <rowItems count="4">
    <i>
      <x/>
    </i>
    <i>
      <x v="1"/>
    </i>
    <i>
      <x v="2"/>
    </i>
    <i>
      <x v="3"/>
    </i>
  </rowItems>
  <colItems count="1">
    <i/>
  </colItems>
  <dataFields count="1">
    <dataField name="Quantity Sold" fld="4" baseField="13"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5D65FC1-9DD8-4825-BB21-C1A02D038E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dataField="1" showAl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numFmtId="166" showAll="0">
      <items count="5">
        <item x="3"/>
        <item x="1"/>
        <item x="0"/>
        <item x="2"/>
        <item t="default"/>
      </items>
    </pivotField>
    <pivotField numFmtId="167" showAll="0"/>
    <pivotField numFmtId="167"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Items count="1">
    <i/>
  </rowItems>
  <colItems count="1">
    <i/>
  </colItems>
  <dataFields count="1">
    <dataField name="Total Orders" fld="5" subtotal="count" baseField="0" baseItem="0" numFmtId="3"/>
  </dataFields>
  <formats count="1">
    <format dxfId="0">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BC60378-ED4C-431C-ABA5-8626423C625C}"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23:K27" firstHeaderRow="1" firstDataRow="1" firstDataCol="1"/>
  <pivotFields count="18">
    <pivotField showAll="0" defaultSubtotal="0"/>
    <pivotField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dataField="1" showAll="0" defaultSubtotal="0"/>
    <pivotField showAll="0"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showAll="0" defaultSubtotal="0"/>
    <pivotField showAll="0" defaultSubtotal="0"/>
    <pivotField showAll="0" defaultSubtotal="0">
      <items count="4">
        <item x="2"/>
        <item x="1"/>
        <item x="3"/>
        <item x="0"/>
      </items>
    </pivotField>
    <pivotField showAll="0" defaultSubtotal="0"/>
    <pivotField axis="axisRow" numFmtId="166" showAll="0" defaultSubtotal="0">
      <items count="4">
        <item x="3"/>
        <item x="1"/>
        <item x="0"/>
        <item x="2"/>
      </items>
    </pivotField>
    <pivotField numFmtId="167" showAll="0" defaultSubtotal="0"/>
    <pivotField numFmtId="167" showAll="0" defaultSubtotal="0"/>
    <pivotField showAll="0" sortType="descending" defaultSubtotal="0">
      <items count="4">
        <item x="2"/>
        <item x="1"/>
        <item x="3"/>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items count="6">
        <item x="0"/>
        <item x="1"/>
        <item x="2"/>
        <item x="3"/>
        <item x="4"/>
        <item x="5"/>
      </items>
    </pivotField>
  </pivotFields>
  <rowFields count="1">
    <field x="10"/>
  </rowFields>
  <rowItems count="4">
    <i>
      <x/>
    </i>
    <i>
      <x v="1"/>
    </i>
    <i>
      <x v="2"/>
    </i>
    <i>
      <x v="3"/>
    </i>
  </rowItems>
  <colItems count="1">
    <i/>
  </colItems>
  <dataFields count="1">
    <dataField name="Quantity Sold" fld="4" baseField="13"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37256D7-8869-4758-A3E4-AA58565DC53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J4:K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2" numFmtId="169"/>
  </dataFields>
  <formats count="2">
    <format dxfId="2">
      <pivotArea outline="0" fieldPosition="0">
        <references count="1">
          <reference field="7" count="1" selected="0">
            <x v="2"/>
          </reference>
        </references>
      </pivotArea>
    </format>
    <format dxfId="1">
      <pivotArea outline="0" collapsedLevelsAreSubtotals="1" fieldPosition="0"/>
    </format>
  </formats>
  <chartFormats count="8">
    <chartFormat chart="0" format="4"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1"/>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1"/>
          </reference>
        </references>
      </pivotArea>
    </chartFormat>
    <chartFormat chart="10"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813BB91-8C66-4362-B1A8-DBCFCF1747A0}"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N14:O19" firstHeaderRow="1" firstDataRow="1" firstDataCol="1"/>
  <pivotFields count="18">
    <pivotField showAll="0" defaultSubtotal="0"/>
    <pivotField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showAll="0" defaultSubtotal="0"/>
    <pivotField axis="axisRow" showAll="0" measureFilter="1" sortType="de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pivotField numFmtId="166" showAll="0" defaultSubtotal="0">
      <items count="4">
        <item x="3"/>
        <item x="1"/>
        <item x="0"/>
        <item x="2"/>
      </items>
    </pivotField>
    <pivotField numFmtId="167" showAll="0" defaultSubtotal="0"/>
    <pivotField dataField="1" numFmtId="167" showAll="0" defaultSubtotal="0"/>
    <pivotField showAll="0" defaultSubtotal="0">
      <items count="4">
        <item x="2"/>
        <item x="1"/>
        <item x="3"/>
        <item x="0"/>
      </items>
    </pivotField>
    <pivotField showAll="0" defaultSubtotal="0">
      <items count="3">
        <item x="2"/>
        <item x="1"/>
        <item x="0"/>
      </items>
    </pivotField>
    <pivotField showAll="0" defaultSubtotal="0">
      <items count="2">
        <item x="1"/>
        <item x="0"/>
      </items>
    </pivotField>
    <pivotField showAll="0" defaultSubtotal="0"/>
    <pivotField showAll="0" defaultSubtotal="0">
      <items count="6">
        <item x="0"/>
        <item x="1"/>
        <item x="2"/>
        <item x="3"/>
        <item x="4"/>
        <item x="5"/>
      </items>
    </pivotField>
  </pivotFields>
  <rowFields count="1">
    <field x="5"/>
  </rowFields>
  <rowItems count="5">
    <i>
      <x v="28"/>
    </i>
    <i>
      <x v="125"/>
    </i>
    <i>
      <x v="831"/>
    </i>
    <i>
      <x v="646"/>
    </i>
    <i>
      <x v="255"/>
    </i>
  </rowItems>
  <colItems count="1">
    <i/>
  </colItems>
  <dataFields count="1">
    <dataField name="Total Revenue" fld="12" baseField="5" baseItem="28" numFmtId="167"/>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17D2E3F-F25F-4185-A5FA-7981F5EFF268}"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N4:O9" firstHeaderRow="1" firstDataRow="1" firstDataCol="1"/>
  <pivotFields count="18">
    <pivotField showAll="0" defaultSubtotal="0"/>
    <pivotField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dataField="1" showAll="0" defaultSubtotal="0"/>
    <pivotField axis="axisRow" showAll="0" measureFilter="1" sortType="de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pivotField numFmtId="166" showAll="0" defaultSubtotal="0"/>
    <pivotField numFmtId="167" showAll="0" defaultSubtotal="0"/>
    <pivotField numFmtId="167" showAll="0" defaultSubtotal="0"/>
    <pivotField showAll="0" defaultSubtotal="0">
      <items count="4">
        <item x="2"/>
        <item x="1"/>
        <item x="3"/>
        <item x="0"/>
      </items>
    </pivotField>
    <pivotField showAll="0" defaultSubtotal="0"/>
    <pivotField showAll="0" defaultSubtotal="0"/>
    <pivotField showAll="0" defaultSubtotal="0"/>
    <pivotField showAll="0" defaultSubtotal="0">
      <items count="6">
        <item x="0"/>
        <item x="1"/>
        <item x="2"/>
        <item x="3"/>
        <item x="4"/>
        <item x="5"/>
      </items>
    </pivotField>
  </pivotFields>
  <rowFields count="1">
    <field x="5"/>
  </rowFields>
  <rowItems count="5">
    <i>
      <x v="831"/>
    </i>
    <i>
      <x v="646"/>
    </i>
    <i>
      <x v="462"/>
    </i>
    <i>
      <x v="12"/>
    </i>
    <i>
      <x v="583"/>
    </i>
  </rowItems>
  <colItems count="1">
    <i/>
  </colItems>
  <dataFields count="1">
    <dataField name="Total Quantity" fld="4" baseField="5" baseItem="831"/>
  </dataFields>
  <pivotTableStyleInfo name="PivotStyleMedium9"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21F9259-A95C-475B-A9C6-591A8C8365B2}"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J32:K35"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dataField="1" compact="0" outline="0" showAll="0" defaultSubtotal="0"/>
    <pivotField compact="0" outline="0" showAll="0"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defaultSubtotal="0"/>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compact="0" numFmtId="167" outline="0" showAll="0" defaultSubtotal="0"/>
    <pivotField compact="0" outline="0" showAll="0" defaultSubtotal="0">
      <items count="4">
        <item x="2"/>
        <item x="1"/>
        <item x="3"/>
        <item x="0"/>
      </items>
    </pivotField>
    <pivotField axis="axisRow"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14"/>
  </rowFields>
  <rowItems count="3">
    <i>
      <x/>
    </i>
    <i>
      <x v="1"/>
    </i>
    <i>
      <x v="2"/>
    </i>
  </rowItems>
  <colItems count="1">
    <i/>
  </colItems>
  <dataFields count="1">
    <dataField name="Sum of Quantity" fld="4"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4" count="1" selected="0">
            <x v="0"/>
          </reference>
        </references>
      </pivotArea>
    </chartFormat>
    <chartFormat chart="3" format="2">
      <pivotArea type="data" outline="0" fieldPosition="0">
        <references count="2">
          <reference field="4294967294" count="1" selected="0">
            <x v="0"/>
          </reference>
          <reference field="14" count="1" selected="0">
            <x v="1"/>
          </reference>
        </references>
      </pivotArea>
    </chartFormat>
    <chartFormat chart="3" format="3">
      <pivotArea type="data" outline="0" fieldPosition="0">
        <references count="2">
          <reference field="4294967294" count="1" selected="0">
            <x v="0"/>
          </reference>
          <reference field="14"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4" count="1" selected="0">
            <x v="0"/>
          </reference>
        </references>
      </pivotArea>
    </chartFormat>
    <chartFormat chart="5" format="10">
      <pivotArea type="data" outline="0" fieldPosition="0">
        <references count="2">
          <reference field="4294967294" count="1" selected="0">
            <x v="0"/>
          </reference>
          <reference field="14" count="1" selected="0">
            <x v="1"/>
          </reference>
        </references>
      </pivotArea>
    </chartFormat>
    <chartFormat chart="5" format="11">
      <pivotArea type="data" outline="0" fieldPosition="0">
        <references count="2">
          <reference field="4294967294" count="1" selected="0">
            <x v="0"/>
          </reference>
          <reference field="1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D05C1BA-6E11-43FC-9DAD-550AFB1C66CB}"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J14:L18" firstHeaderRow="0" firstDataRow="1" firstDataCol="1"/>
  <pivotFields count="18">
    <pivotField showAll="0" defaultSubtotal="0"/>
    <pivotField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dataField="1" showAll="0" defaultSubtotal="0"/>
    <pivotField showAll="0"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showAll="0" defaultSubtotal="0"/>
    <pivotField showAll="0" defaultSubtotal="0"/>
    <pivotField showAll="0" defaultSubtotal="0">
      <items count="4">
        <item x="2"/>
        <item x="1"/>
        <item x="3"/>
        <item x="0"/>
      </items>
    </pivotField>
    <pivotField showAll="0" defaultSubtotal="0"/>
    <pivotField numFmtId="166" showAll="0" defaultSubtotal="0">
      <items count="4">
        <item x="3"/>
        <item x="1"/>
        <item x="0"/>
        <item x="2"/>
      </items>
    </pivotField>
    <pivotField numFmtId="167" showAll="0" defaultSubtotal="0"/>
    <pivotField dataField="1" numFmtId="167" showAll="0" defaultSubtotal="0"/>
    <pivotField axis="axisRow" showAll="0" sortType="descending" defaultSubtotal="0">
      <items count="4">
        <item x="2"/>
        <item x="1"/>
        <item x="3"/>
        <item x="0"/>
      </items>
      <autoSortScope>
        <pivotArea dataOnly="0" outline="0" fieldPosition="0">
          <references count="1">
            <reference field="4294967294" count="1" selected="0">
              <x v="0"/>
            </reference>
          </references>
        </pivotArea>
      </autoSortScope>
    </pivotField>
    <pivotField showAll="0" defaultSubtotal="0">
      <items count="3">
        <item x="2"/>
        <item x="1"/>
        <item x="0"/>
      </items>
    </pivotField>
    <pivotField showAll="0" defaultSubtotal="0">
      <items count="2">
        <item x="1"/>
        <item x="0"/>
      </items>
    </pivotField>
    <pivotField showAll="0" defaultSubtotal="0"/>
    <pivotField showAll="0" defaultSubtotal="0">
      <items count="6">
        <item x="0"/>
        <item x="1"/>
        <item x="2"/>
        <item x="3"/>
        <item x="4"/>
        <item x="5"/>
      </items>
    </pivotField>
  </pivotFields>
  <rowFields count="1">
    <field x="13"/>
  </rowFields>
  <rowItems count="4">
    <i>
      <x v="1"/>
    </i>
    <i>
      <x v="2"/>
    </i>
    <i>
      <x/>
    </i>
    <i>
      <x v="3"/>
    </i>
  </rowItems>
  <colFields count="1">
    <field x="-2"/>
  </colFields>
  <colItems count="2">
    <i>
      <x/>
    </i>
    <i i="1">
      <x v="1"/>
    </i>
  </colItems>
  <dataFields count="2">
    <dataField name="Revenue" fld="12" baseField="13" baseItem="1" numFmtId="167"/>
    <dataField name="Sum of Quantity"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6A6EE23-6987-445C-9D81-0B94E03155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Items count="1">
    <i/>
  </rowItems>
  <colItems count="1">
    <i/>
  </colItems>
  <dataFields count="1">
    <dataField name="Total Revenue" fld="12" baseField="0" baseItem="0" numFmtId="170"/>
  </dataFields>
  <formats count="1">
    <format dxfId="3">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4AF7FEC-15AA-4BA7-9FD8-D464736EA3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dataField="1" showAll="0"/>
    <pivotField showAll="0"/>
    <pivotField showAll="0"/>
    <pivotField showAll="0"/>
    <pivotField showAll="0"/>
    <pivotField showAll="0"/>
    <pivotField numFmtId="166" showAll="0">
      <items count="5">
        <item x="3"/>
        <item x="1"/>
        <item x="0"/>
        <item x="2"/>
        <item t="default"/>
      </items>
    </pivotField>
    <pivotField numFmtId="167" showAll="0"/>
    <pivotField numFmtId="167"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Items count="1">
    <i/>
  </rowItems>
  <colItems count="1">
    <i/>
  </colItems>
  <dataFields count="1">
    <dataField name="Total Quantity Sold" fld="4" baseField="0" baseItem="0" numFmtId="3"/>
  </dataFields>
  <formats count="1">
    <format dxfId="4">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2C3C995-753B-4074-A1F9-C7ABC3BAECA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B14:G59"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168"/>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1">
          <reference field="4294967294" count="1" selected="0">
            <x v="0"/>
          </reference>
        </references>
      </pivotArea>
    </chartFormat>
    <chartFormat chart="8" format="9" series="1">
      <pivotArea type="data" outline="0" fieldPosition="0">
        <references count="2">
          <reference field="4294967294" count="1" selected="0">
            <x v="0"/>
          </reference>
          <reference field="13" count="1" selected="0">
            <x v="0"/>
          </reference>
        </references>
      </pivotArea>
    </chartFormat>
    <chartFormat chart="8" format="10" series="1">
      <pivotArea type="data" outline="0" fieldPosition="0">
        <references count="2">
          <reference field="4294967294" count="1" selected="0">
            <x v="0"/>
          </reference>
          <reference field="13" count="1" selected="0">
            <x v="1"/>
          </reference>
        </references>
      </pivotArea>
    </chartFormat>
    <chartFormat chart="8" format="11" series="1">
      <pivotArea type="data" outline="0" fieldPosition="0">
        <references count="2">
          <reference field="4294967294" count="1" selected="0">
            <x v="0"/>
          </reference>
          <reference field="13" count="1" selected="0">
            <x v="2"/>
          </reference>
        </references>
      </pivotArea>
    </chartFormat>
    <chartFormat chart="8" format="12" series="1">
      <pivotArea type="data" outline="0" fieldPosition="0">
        <references count="2">
          <reference field="4294967294" count="1" selected="0">
            <x v="0"/>
          </reference>
          <reference field="13" count="1" selected="0">
            <x v="3"/>
          </reference>
        </references>
      </pivotArea>
    </chartFormat>
    <chartFormat chart="8"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A64F109-38E7-4F2D-9D84-58E2BE644FA1}" sourceName="Size">
  <pivotTables>
    <pivotTable tabId="18" name="Total Sales"/>
    <pivotTable tabId="20" name="KPI Quant Sold"/>
    <pivotTable tabId="20" name="KPI Total Orders"/>
    <pivotTable tabId="20" name="KPI Total Revenue"/>
    <pivotTable tabId="27" name="prod rev and quant"/>
    <pivotTable tabId="27" name="roast type quant"/>
    <pivotTable tabId="21" name="country rev"/>
    <pivotTable tabId="25" name="customer revenue"/>
    <pivotTable tabId="18" name="PivotTable1"/>
    <pivotTable tabId="18" name="PivotTable3"/>
  </pivotTables>
  <data>
    <tabular pivotCacheId="72826436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5D49FD24-BF90-46B2-B89D-11AC0BCB7974}" sourceName="Coffee Type Name">
  <pivotTables>
    <pivotTable tabId="18" name="Total Sales"/>
    <pivotTable tabId="20" name="KPI Quant Sold"/>
    <pivotTable tabId="20" name="KPI Total Orders"/>
    <pivotTable tabId="20" name="KPI Total Revenue"/>
    <pivotTable tabId="21" name="country rev"/>
    <pivotTable tabId="27" name="prod rev and quant"/>
    <pivotTable tabId="27" name="roast type quant"/>
    <pivotTable tabId="25" name="customer revenue"/>
    <pivotTable tabId="18" name="PivotTable1"/>
    <pivotTable tabId="18" name="PivotTable3"/>
  </pivotTables>
  <data>
    <tabular pivotCacheId="728264369">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37A8612-B483-44D5-B90B-4083DD57785F}" sourceName="Roast Type Name">
  <pivotTables>
    <pivotTable tabId="18" name="Total Sales"/>
    <pivotTable tabId="20" name="KPI Quant Sold"/>
    <pivotTable tabId="20" name="KPI Total Orders"/>
    <pivotTable tabId="20" name="KPI Total Revenue"/>
    <pivotTable tabId="27" name="prod rev and quant"/>
    <pivotTable tabId="27" name="roast type quant"/>
    <pivotTable tabId="21" name="country rev"/>
    <pivotTable tabId="25" name="customer revenue"/>
    <pivotTable tabId="18" name="PivotTable1"/>
    <pivotTable tabId="18" name="PivotTable3"/>
  </pivotTables>
  <data>
    <tabular pivotCacheId="72826436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FC58BF5-75A2-44AC-AE48-94F6FFDB4900}" sourceName="Loyalty Card">
  <pivotTables>
    <pivotTable tabId="18" name="Total Sales"/>
    <pivotTable tabId="20" name="KPI Quant Sold"/>
    <pivotTable tabId="20" name="KPI Total Orders"/>
    <pivotTable tabId="20" name="KPI Total Revenue"/>
    <pivotTable tabId="27" name="prod rev and quant"/>
    <pivotTable tabId="27" name="roast type quant"/>
    <pivotTable tabId="21" name="country rev"/>
    <pivotTable tabId="25" name="customer revenue"/>
    <pivotTable tabId="18" name="PivotTable1"/>
    <pivotTable tabId="18" name="PivotTable3"/>
  </pivotTables>
  <data>
    <tabular pivotCacheId="72826436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6CD62F4-1D21-4C4D-8675-C123479A3DC8}" cache="Slicer_Size" caption="Size" rowHeight="241300"/>
  <slicer name="Coffee Type Name" xr10:uid="{7D499904-3047-48C4-9E1F-CCBFD74D0E08}" cache="Slicer_Coffee_Type_Name" caption="Coffee Type Name" rowHeight="241300"/>
  <slicer name="Roast Type Name" xr10:uid="{56DE5F9D-1286-4AA8-907E-E1FEBC83F92D}" cache="Slicer_Roast_Type_Name" caption="Roast Type Name" rowHeight="241300"/>
  <slicer name="Loyalty Card" xr10:uid="{23E64493-754E-49E2-8BCB-AF8D880AFA85}" cache="Slicer_Loyalty_Card" caption="Loyalty Car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1008D679-220A-412D-92A7-60865922E7C4}" cache="Slicer_Size" caption="Size" columnCount="2" rowHeight="241300"/>
  <slicer name="Coffee Type Name 1" xr10:uid="{54A3265D-DDE2-4EFD-82EE-E028602DC901}" cache="Slicer_Coffee_Type_Name" caption="Coffee Type Name" columnCount="2" rowHeight="241300"/>
  <slicer name="Roast Type Name 1" xr10:uid="{009304CC-63FA-4331-BADB-43C552DE19FE}" cache="Slicer_Roast_Type_Name" caption="Roast Type Name" columnCount="3" rowHeight="241300"/>
  <slicer name="Loyalty Card 1" xr10:uid="{FEB09EE7-542A-4DB3-AE4C-0611205E6806}" cache="Slicer_Loyalty_Card" caption="Loyalty Card"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D4E2DE-D065-4BFE-AFA1-BC9A6B9A2AD7}" name="Table2" displayName="Table2" ref="A3:O9" totalsRowShown="0">
  <autoFilter ref="A3:O9" xr:uid="{75D4E2DE-D065-4BFE-AFA1-BC9A6B9A2AD7}"/>
  <sortState xmlns:xlrd2="http://schemas.microsoft.com/office/spreadsheetml/2017/richdata2" ref="A4:O9">
    <sortCondition ref="M3:M9"/>
  </sortState>
  <tableColumns count="15">
    <tableColumn id="1" xr3:uid="{D8F4F5CE-51BA-45A2-959D-E9E032FF7B41}" name="Order ID"/>
    <tableColumn id="2" xr3:uid="{F260416F-FE46-4DD0-9D29-C16E37000881}" name="Order Date" dataDxfId="21"/>
    <tableColumn id="3" xr3:uid="{B1632636-1B7D-41B4-9E25-F7CB0DA706CB}" name="Customer ID"/>
    <tableColumn id="4" xr3:uid="{FE4A515C-48F9-4654-A149-6C50D2004DDD}" name="Product ID"/>
    <tableColumn id="5" xr3:uid="{0A1D1F97-95D0-4C03-9082-A75C7112AB63}" name="Quantity"/>
    <tableColumn id="6" xr3:uid="{6E21DB44-39B2-4970-AA11-1EBF52088B80}" name="Customer Name"/>
    <tableColumn id="7" xr3:uid="{3A5998BB-011D-4DDE-B671-6F9B9F60D951}" name="Email"/>
    <tableColumn id="8" xr3:uid="{C8B57059-901A-4935-9C78-C1CA4738671B}" name="Country"/>
    <tableColumn id="9" xr3:uid="{2D72AA97-B409-486F-8207-79E9F0B75D36}" name="Coffee Type"/>
    <tableColumn id="10" xr3:uid="{ED499656-C97F-4927-B152-26E2FE047DD1}" name="Roast Type"/>
    <tableColumn id="11" xr3:uid="{CF60DE73-2ADF-4985-BA6E-5D8D0C249DFB}" name="Size"/>
    <tableColumn id="12" xr3:uid="{598D1FFA-7F93-44D6-B199-D1B304BE2085}" name="Unit Price"/>
    <tableColumn id="13" xr3:uid="{B552EDCE-8CC6-4E40-AD9F-E1BBCC72CF4C}" name="Sales"/>
    <tableColumn id="14" xr3:uid="{022066EB-B661-478F-996B-A02AED175784}" name="Coffee Type Name"/>
    <tableColumn id="15" xr3:uid="{41C22D91-EBA9-4052-9567-63177A763EA8}" name="Roast Type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3F8C76-7661-4F80-B4FF-529FB71E3F67}" name="Table1" displayName="Table1" ref="A1:P1001" totalsRowShown="0" headerRowDxfId="20">
  <autoFilter ref="A1:P1001" xr:uid="{0F3F8C76-7661-4F80-B4FF-529FB71E3F67}"/>
  <tableColumns count="16">
    <tableColumn id="1" xr3:uid="{37EDC3A9-BF98-4A69-A67C-B9A2C3118434}" name="Order ID" dataDxfId="19"/>
    <tableColumn id="2" xr3:uid="{9DEA8432-FA04-46D0-879D-926080C4B1BC}" name="Order Date" dataDxfId="18"/>
    <tableColumn id="3" xr3:uid="{E99C8DE7-4101-4F02-8235-333001B33A82}" name="Customer ID" dataDxfId="17"/>
    <tableColumn id="4" xr3:uid="{80971405-B9E0-474B-B5EA-9040A963FDE5}" name="Product ID"/>
    <tableColumn id="5" xr3:uid="{0DDCD6C5-5B77-487F-B1A8-2FC587A2EE6A}" name="Quantity" dataDxfId="16"/>
    <tableColumn id="6" xr3:uid="{6C144CDB-9970-471E-B76F-8884944DB330}" name="Customer Name" dataDxfId="15">
      <calculatedColumnFormula>_xlfn.XLOOKUP(C2,customers!$A$1:$A$1001,customers!$B$1:$B$1001,,0)</calculatedColumnFormula>
    </tableColumn>
    <tableColumn id="7" xr3:uid="{8CD5D83C-17C0-42D5-9A49-E01B9ADC9663}" name="Email" dataDxfId="14">
      <calculatedColumnFormula>IF(_xlfn.XLOOKUP(C2,customers!$A$1:$A$1001,customers!$C$1:$C$1001,,0)=0,"",_xlfn.XLOOKUP(C2,customers!$A$1:$A$1001,customers!$C$1:$C$1001,,0))</calculatedColumnFormula>
    </tableColumn>
    <tableColumn id="8" xr3:uid="{F07D729B-34F4-4DE6-ABFE-0A541B3F9C27}" name="Country" dataDxfId="13">
      <calculatedColumnFormula>_xlfn.XLOOKUP(C2,customers!$A$1:$A$1001,customers!$G$1:$G$1001,,0)</calculatedColumnFormula>
    </tableColumn>
    <tableColumn id="9" xr3:uid="{216D8356-4A3E-41EB-AB8E-7E6816094248}" name="Coffee Type">
      <calculatedColumnFormula>INDEX(products!$A$1:$G$49,MATCH(orders!$D2,products!$A$1:$A$49,0),MATCH(I$1,products!$A$1:$G$1,0))</calculatedColumnFormula>
    </tableColumn>
    <tableColumn id="10" xr3:uid="{0D4591D4-90A3-4C5C-9F39-73F956BF5B53}" name="Roast Type">
      <calculatedColumnFormula>INDEX(products!$A$1:$G$49,MATCH(orders!$D2,products!$A$1:$A$49,0),MATCH(J$1,products!$A$1:$G$1,0))</calculatedColumnFormula>
    </tableColumn>
    <tableColumn id="11" xr3:uid="{5DFFAFA2-800D-4B84-B9E1-DB1391C1E800}" name="Size" dataDxfId="12">
      <calculatedColumnFormula>INDEX(products!$A$1:$G$49,MATCH(orders!$D2,products!$A$1:$A$49,0),MATCH(K$1,products!$A$1:$G$1,0))</calculatedColumnFormula>
    </tableColumn>
    <tableColumn id="12" xr3:uid="{E5F13465-2404-4B39-BA05-C9161E3D98A2}" name="Unit Price" dataDxfId="11">
      <calculatedColumnFormula>INDEX(products!$A$1:$G$49,MATCH(orders!$D2,products!$A$1:$A$49,0),MATCH(L$1,products!$A$1:$G$1,0))</calculatedColumnFormula>
    </tableColumn>
    <tableColumn id="13" xr3:uid="{B2510D8A-D77A-4354-8A2C-5B29D12707A2}" name="Sales" dataDxfId="10">
      <calculatedColumnFormula>L2*E2</calculatedColumnFormula>
    </tableColumn>
    <tableColumn id="14" xr3:uid="{5A0A5545-F2D0-485A-8DEE-5C32FD74D964}" name="Coffee Type Name">
      <calculatedColumnFormula>IF(I2="Rob","Robusta",IF(I2="Exc","Excelsa",IF(I2="Ara","Arabica",IF(I2="Lib","Liberica",""))))</calculatedColumnFormula>
    </tableColumn>
    <tableColumn id="15" xr3:uid="{6CC1B411-0351-49A1-9BF5-6E05EA95782C}" name="Roast Type Name">
      <calculatedColumnFormula>IF(J2="M","Medium",IF(J2="L","Light",IF(J2="D","Dark","")))</calculatedColumnFormula>
    </tableColumn>
    <tableColumn id="16" xr3:uid="{CDCCB51D-6CF9-4DE6-880C-8A8CA97BB116}" name="Loyalty Card">
      <calculatedColumnFormula>_xlfn.XLOOKUP(Table1[[#This Row],[Customer ID]],customers!$A$2:$A$1001,customers!$I$2:$I$1001,,0)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2070B40-91EA-4DFD-A1B0-B2AE4CF89C70}" sourceName="Order Date">
  <pivotTables>
    <pivotTable tabId="18" name="Total Sales"/>
    <pivotTable tabId="20" name="KPI Quant Sold"/>
    <pivotTable tabId="20" name="KPI Total Orders"/>
    <pivotTable tabId="20" name="KPI Total Revenue"/>
    <pivotTable tabId="27" name="roast type quant"/>
    <pivotTable tabId="27" name="prod rev and quant"/>
    <pivotTable tabId="21" name="country rev"/>
    <pivotTable tabId="25" name="customer revenue"/>
    <pivotTable tabId="18" name="PivotTable1"/>
    <pivotTable tabId="18" name="PivotTable3"/>
  </pivotTables>
  <state minimalRefreshVersion="6" lastRefreshVersion="6" pivotCacheId="72826436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203A542-43B5-47FB-8680-94F68EC248C2}" cache="NativeTimeline_Order_Date" caption="Order Date" level="0" selectionLevel="0" scrollPosition="2019-01-01T00:00:00" style="Coffe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A7BB34E-44A6-4D2D-8CC5-17D7BA5C41D6}" cache="NativeTimeline_Order_Date" caption="Order Date" level="0" selectionLevel="0" scrollPosition="2019-01-01T00:00:00" style="Coffee Timelin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8AC29-167C-46F3-9732-F3C4CBF5F87D}">
  <dimension ref="A1:O9"/>
  <sheetViews>
    <sheetView workbookViewId="0">
      <selection activeCell="A3" sqref="A3:O9"/>
    </sheetView>
  </sheetViews>
  <sheetFormatPr defaultRowHeight="15" x14ac:dyDescent="0.25"/>
  <cols>
    <col min="1" max="1" width="14.85546875" bestFit="1" customWidth="1"/>
    <col min="2" max="2" width="13" bestFit="1" customWidth="1"/>
    <col min="3" max="3" width="15.85546875" bestFit="1" customWidth="1"/>
    <col min="4" max="4" width="12.42578125" bestFit="1" customWidth="1"/>
    <col min="5" max="5" width="11" bestFit="1" customWidth="1"/>
    <col min="6" max="6" width="17.7109375" bestFit="1" customWidth="1"/>
    <col min="7" max="7" width="20.85546875" bestFit="1" customWidth="1"/>
    <col min="8" max="8" width="12.85546875" bestFit="1" customWidth="1"/>
    <col min="9" max="9" width="14" bestFit="1" customWidth="1"/>
    <col min="10" max="10" width="12.85546875" bestFit="1" customWidth="1"/>
    <col min="11" max="11" width="9.28515625" bestFit="1" customWidth="1"/>
    <col min="12" max="12" width="12" bestFit="1" customWidth="1"/>
    <col min="13" max="13" width="9.28515625" bestFit="1" customWidth="1"/>
    <col min="14" max="14" width="20" bestFit="1" customWidth="1"/>
    <col min="15" max="15" width="18.7109375" bestFit="1" customWidth="1"/>
  </cols>
  <sheetData>
    <row r="1" spans="1:15" x14ac:dyDescent="0.25">
      <c r="A1" s="5" t="s">
        <v>6225</v>
      </c>
    </row>
    <row r="3" spans="1:15" x14ac:dyDescent="0.25">
      <c r="A3" t="s">
        <v>0</v>
      </c>
      <c r="B3" t="s">
        <v>1</v>
      </c>
      <c r="C3" t="s">
        <v>3</v>
      </c>
      <c r="D3" t="s">
        <v>11</v>
      </c>
      <c r="E3" t="s">
        <v>14</v>
      </c>
      <c r="F3" t="s">
        <v>4</v>
      </c>
      <c r="G3" t="s">
        <v>2</v>
      </c>
      <c r="H3" t="s">
        <v>7</v>
      </c>
      <c r="I3" t="s">
        <v>9</v>
      </c>
      <c r="J3" t="s">
        <v>10</v>
      </c>
      <c r="K3" t="s">
        <v>12</v>
      </c>
      <c r="L3" t="s">
        <v>13</v>
      </c>
      <c r="M3" t="s">
        <v>15</v>
      </c>
      <c r="N3" t="s">
        <v>6196</v>
      </c>
      <c r="O3" t="s">
        <v>6197</v>
      </c>
    </row>
    <row r="4" spans="1:15" x14ac:dyDescent="0.25">
      <c r="A4" t="s">
        <v>1498</v>
      </c>
      <c r="B4" s="10">
        <v>43830</v>
      </c>
      <c r="C4" t="s">
        <v>1499</v>
      </c>
      <c r="D4" t="s">
        <v>6154</v>
      </c>
      <c r="E4">
        <v>1</v>
      </c>
      <c r="F4" t="s">
        <v>1500</v>
      </c>
      <c r="G4" t="s">
        <v>6222</v>
      </c>
      <c r="H4" t="s">
        <v>318</v>
      </c>
      <c r="I4" t="s">
        <v>6193</v>
      </c>
      <c r="J4" t="s">
        <v>6187</v>
      </c>
      <c r="K4">
        <v>0.2</v>
      </c>
      <c r="L4">
        <v>2.9849999999999999</v>
      </c>
      <c r="M4">
        <v>2.9849999999999999</v>
      </c>
      <c r="N4" t="s">
        <v>6216</v>
      </c>
      <c r="O4" t="s">
        <v>6224</v>
      </c>
    </row>
    <row r="5" spans="1:15" x14ac:dyDescent="0.25">
      <c r="A5" t="s">
        <v>2204</v>
      </c>
      <c r="B5" s="10">
        <v>43828</v>
      </c>
      <c r="C5" t="s">
        <v>2245</v>
      </c>
      <c r="D5" t="s">
        <v>6167</v>
      </c>
      <c r="E5">
        <v>1</v>
      </c>
      <c r="F5" t="s">
        <v>2246</v>
      </c>
      <c r="G5" t="s">
        <v>2247</v>
      </c>
      <c r="H5" t="s">
        <v>19</v>
      </c>
      <c r="I5" t="s">
        <v>6193</v>
      </c>
      <c r="J5" t="s">
        <v>6186</v>
      </c>
      <c r="K5">
        <v>0.2</v>
      </c>
      <c r="L5">
        <v>3.8849999999999998</v>
      </c>
      <c r="M5">
        <v>3.8849999999999998</v>
      </c>
      <c r="N5" t="s">
        <v>6216</v>
      </c>
      <c r="O5" t="s">
        <v>6223</v>
      </c>
    </row>
    <row r="6" spans="1:15" x14ac:dyDescent="0.25">
      <c r="A6" t="s">
        <v>4488</v>
      </c>
      <c r="B6" s="10">
        <v>43804</v>
      </c>
      <c r="C6" t="s">
        <v>4489</v>
      </c>
      <c r="D6" t="s">
        <v>6157</v>
      </c>
      <c r="E6">
        <v>2</v>
      </c>
      <c r="F6" t="s">
        <v>4490</v>
      </c>
      <c r="G6" t="s">
        <v>4491</v>
      </c>
      <c r="H6" t="s">
        <v>19</v>
      </c>
      <c r="I6" t="s">
        <v>6193</v>
      </c>
      <c r="J6" t="s">
        <v>6188</v>
      </c>
      <c r="K6">
        <v>0.5</v>
      </c>
      <c r="L6">
        <v>6.75</v>
      </c>
      <c r="M6">
        <v>13.5</v>
      </c>
      <c r="N6" t="s">
        <v>6216</v>
      </c>
      <c r="O6" t="s">
        <v>6221</v>
      </c>
    </row>
    <row r="7" spans="1:15" x14ac:dyDescent="0.25">
      <c r="A7" t="s">
        <v>2923</v>
      </c>
      <c r="B7" s="10">
        <v>43808</v>
      </c>
      <c r="C7" t="s">
        <v>2924</v>
      </c>
      <c r="D7" t="s">
        <v>6155</v>
      </c>
      <c r="E7">
        <v>2</v>
      </c>
      <c r="F7" t="s">
        <v>2925</v>
      </c>
      <c r="G7" t="s">
        <v>6222</v>
      </c>
      <c r="H7" t="s">
        <v>19</v>
      </c>
      <c r="I7" t="s">
        <v>6193</v>
      </c>
      <c r="J7" t="s">
        <v>6188</v>
      </c>
      <c r="K7">
        <v>1</v>
      </c>
      <c r="L7">
        <v>11.25</v>
      </c>
      <c r="M7">
        <v>22.5</v>
      </c>
      <c r="N7" t="s">
        <v>6216</v>
      </c>
      <c r="O7" t="s">
        <v>6221</v>
      </c>
    </row>
    <row r="8" spans="1:15" x14ac:dyDescent="0.25">
      <c r="A8" t="s">
        <v>2934</v>
      </c>
      <c r="B8" s="10">
        <v>43807</v>
      </c>
      <c r="C8" t="s">
        <v>2935</v>
      </c>
      <c r="D8" t="s">
        <v>6155</v>
      </c>
      <c r="E8">
        <v>6</v>
      </c>
      <c r="F8" t="s">
        <v>2936</v>
      </c>
      <c r="G8" t="s">
        <v>6222</v>
      </c>
      <c r="H8" t="s">
        <v>19</v>
      </c>
      <c r="I8" t="s">
        <v>6193</v>
      </c>
      <c r="J8" t="s">
        <v>6188</v>
      </c>
      <c r="K8">
        <v>1</v>
      </c>
      <c r="L8">
        <v>11.25</v>
      </c>
      <c r="M8">
        <v>67.5</v>
      </c>
      <c r="N8" t="s">
        <v>6216</v>
      </c>
      <c r="O8" t="s">
        <v>6221</v>
      </c>
    </row>
    <row r="9" spans="1:15" x14ac:dyDescent="0.25">
      <c r="A9" t="s">
        <v>1022</v>
      </c>
      <c r="B9" s="10">
        <v>43816</v>
      </c>
      <c r="C9" t="s">
        <v>1023</v>
      </c>
      <c r="D9" t="s">
        <v>6175</v>
      </c>
      <c r="E9">
        <v>6</v>
      </c>
      <c r="F9" t="s">
        <v>1024</v>
      </c>
      <c r="G9" t="s">
        <v>1025</v>
      </c>
      <c r="H9" t="s">
        <v>19</v>
      </c>
      <c r="I9" t="s">
        <v>6193</v>
      </c>
      <c r="J9" t="s">
        <v>6188</v>
      </c>
      <c r="K9">
        <v>2.5</v>
      </c>
      <c r="L9">
        <v>25.874999999999996</v>
      </c>
      <c r="M9">
        <v>155.24999999999997</v>
      </c>
      <c r="N9" t="s">
        <v>6216</v>
      </c>
      <c r="O9" t="s">
        <v>6221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J2" sqref="J2"/>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28515625" bestFit="1" customWidth="1"/>
    <col min="12" max="12" width="11.28515625" customWidth="1"/>
    <col min="13" max="13" width="9.42578125" bestFit="1" customWidth="1"/>
    <col min="14" max="14" width="18.85546875" customWidth="1"/>
    <col min="15" max="15" width="18.140625" customWidth="1"/>
    <col min="16" max="16" width="14" bestFit="1" customWidth="1"/>
  </cols>
  <sheetData>
    <row r="1" spans="1:16" s="5" customFormat="1" x14ac:dyDescent="0.25">
      <c r="A1" s="4" t="s">
        <v>0</v>
      </c>
      <c r="B1" s="4" t="s">
        <v>1</v>
      </c>
      <c r="C1" s="4" t="s">
        <v>3</v>
      </c>
      <c r="D1" s="4" t="s">
        <v>11</v>
      </c>
      <c r="E1" s="4" t="s">
        <v>14</v>
      </c>
      <c r="F1" s="4" t="s">
        <v>4</v>
      </c>
      <c r="G1" s="4" t="s">
        <v>2</v>
      </c>
      <c r="H1" s="4" t="s">
        <v>7</v>
      </c>
      <c r="I1" s="4" t="s">
        <v>9</v>
      </c>
      <c r="J1" s="4" t="s">
        <v>10</v>
      </c>
      <c r="K1" s="4" t="s">
        <v>12</v>
      </c>
      <c r="L1" s="4" t="s">
        <v>13</v>
      </c>
      <c r="M1" s="4" t="s">
        <v>15</v>
      </c>
      <c r="N1" s="4" t="s">
        <v>6196</v>
      </c>
      <c r="O1" s="4" t="s">
        <v>6197</v>
      </c>
      <c r="P1" s="4"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INDEX(products!$A$1:$G$49,MATCH(orders!$D2,products!$A$1:$A$49,0),MATCH(I$1,products!$A$1:$G$1,0))</f>
        <v>Rob</v>
      </c>
      <c r="J2" t="str">
        <f>INDEX(products!$A$1:$G$49,MATCH(orders!$D2,products!$A$1:$A$49,0),MATCH(J$1,products!$A$1:$G$1,0))</f>
        <v>M</v>
      </c>
      <c r="K2" s="6">
        <f>INDEX(products!$A$1:$G$49,MATCH(orders!$D2,products!$A$1:$A$49,0),MATCH(K$1,products!$A$1:$G$1,0))</f>
        <v>1</v>
      </c>
      <c r="L2" s="7">
        <f>INDEX(products!$A$1:$G$49,MATCH(orders!$D2,products!$A$1:$A$49,0),MATCH(L$1,products!$A$1:$G$1,0))</f>
        <v>9.9499999999999993</v>
      </c>
      <c r="M2" s="7">
        <f>L2*E2</f>
        <v>19.899999999999999</v>
      </c>
      <c r="N2" t="str">
        <f>IF(I2="Rob","Robusta",IF(I2="Exc","Excelsa",IF(I2="Ara","Arabica",IF(I2="Lib","Liberica",""))))</f>
        <v>Robusta</v>
      </c>
      <c r="O2" t="str">
        <f>IF(J2="M","Medium",IF(J2="L","Light",IF(J2="D","Dark","")))</f>
        <v>Medium</v>
      </c>
      <c r="P2" t="str">
        <f>_xlfn.XLOOKUP(Table1[[#This Row],[Customer ID]],customers!$A$2:$A$1001,customers!$I$2:$I$1001,,0)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INDEX(products!$A$1:$G$49,MATCH(orders!$D3,products!$A$1:$A$49,0),MATCH(I$1,products!$A$1:$G$1,0))</f>
        <v>Exc</v>
      </c>
      <c r="J3" t="str">
        <f>INDEX(products!$A$1:$G$49,MATCH(orders!$D3,products!$A$1:$A$49,0),MATCH(J$1,products!$A$1:$G$1,0))</f>
        <v>M</v>
      </c>
      <c r="K3" s="6">
        <f>INDEX(products!$A$1:$G$49,MATCH(orders!$D3,products!$A$1:$A$49,0),MATCH(K$1,products!$A$1:$G$1,0))</f>
        <v>0.5</v>
      </c>
      <c r="L3" s="7">
        <f>INDEX(products!$A$1:$G$49,MATCH(orders!$D3,products!$A$1:$A$49,0),MATCH(L$1,products!$A$1:$G$1,0))</f>
        <v>8.25</v>
      </c>
      <c r="M3" s="7">
        <f t="shared" ref="M3:M66" si="0">L3*E3</f>
        <v>41.25</v>
      </c>
      <c r="N3" t="str">
        <f t="shared" ref="N3:N66" si="1">IF(I3="Rob","Robusta",IF(I3="Exc","Excelsa",IF(I3="Ara","Arabica",IF(I3="Lib","Liberica",""))))</f>
        <v>Excelsa</v>
      </c>
      <c r="O3" t="str">
        <f t="shared" ref="O3:O66" si="2">IF(J3="M","Medium",IF(J3="L","Light",IF(J3="D","Dark","")))</f>
        <v>Medium</v>
      </c>
      <c r="P3" t="str">
        <f>_xlfn.XLOOKUP(Table1[[#This Row],[Customer ID]],customers!$A$2:$A$1001,customers!$I$2:$I$1001,,0)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INDEX(products!$A$1:$G$49,MATCH(orders!$D4,products!$A$1:$A$49,0),MATCH(I$1,products!$A$1:$G$1,0))</f>
        <v>Ara</v>
      </c>
      <c r="J4" t="str">
        <f>INDEX(products!$A$1:$G$49,MATCH(orders!$D4,products!$A$1:$A$49,0),MATCH(J$1,products!$A$1:$G$1,0))</f>
        <v>L</v>
      </c>
      <c r="K4" s="6">
        <f>INDEX(products!$A$1:$G$49,MATCH(orders!$D4,products!$A$1:$A$49,0),MATCH(K$1,products!$A$1:$G$1,0))</f>
        <v>1</v>
      </c>
      <c r="L4" s="7">
        <f>INDEX(products!$A$1:$G$49,MATCH(orders!$D4,products!$A$1:$A$49,0),MATCH(L$1,products!$A$1:$G$1,0))</f>
        <v>12.95</v>
      </c>
      <c r="M4" s="7">
        <f t="shared" si="0"/>
        <v>12.95</v>
      </c>
      <c r="N4" t="str">
        <f t="shared" si="1"/>
        <v>Arabica</v>
      </c>
      <c r="O4" t="str">
        <f t="shared" si="2"/>
        <v>Light</v>
      </c>
      <c r="P4" t="str">
        <f>_xlfn.XLOOKUP(Table1[[#This Row],[Customer ID]],customers!$A$2:$A$1001,customers!$I$2:$I$1001,,0)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INDEX(products!$A$1:$G$49,MATCH(orders!$D5,products!$A$1:$A$49,0),MATCH(I$1,products!$A$1:$G$1,0))</f>
        <v>Exc</v>
      </c>
      <c r="J5" t="str">
        <f>INDEX(products!$A$1:$G$49,MATCH(orders!$D5,products!$A$1:$A$49,0),MATCH(J$1,products!$A$1:$G$1,0))</f>
        <v>M</v>
      </c>
      <c r="K5" s="6">
        <f>INDEX(products!$A$1:$G$49,MATCH(orders!$D5,products!$A$1:$A$49,0),MATCH(K$1,products!$A$1:$G$1,0))</f>
        <v>1</v>
      </c>
      <c r="L5" s="7">
        <f>INDEX(products!$A$1:$G$49,MATCH(orders!$D5,products!$A$1:$A$49,0),MATCH(L$1,products!$A$1:$G$1,0))</f>
        <v>13.75</v>
      </c>
      <c r="M5" s="7">
        <f t="shared" si="0"/>
        <v>27.5</v>
      </c>
      <c r="N5" t="str">
        <f t="shared" si="1"/>
        <v>Excelsa</v>
      </c>
      <c r="O5" t="str">
        <f t="shared" si="2"/>
        <v>Medium</v>
      </c>
      <c r="P5" t="str">
        <f>_xlfn.XLOOKUP(Table1[[#This Row],[Customer ID]],customers!$A$2:$A$1001,customers!$I$2:$I$1001,,0)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INDEX(products!$A$1:$G$49,MATCH(orders!$D6,products!$A$1:$A$49,0),MATCH(I$1,products!$A$1:$G$1,0))</f>
        <v>Rob</v>
      </c>
      <c r="J6" t="str">
        <f>INDEX(products!$A$1:$G$49,MATCH(orders!$D6,products!$A$1:$A$49,0),MATCH(J$1,products!$A$1:$G$1,0))</f>
        <v>L</v>
      </c>
      <c r="K6" s="6">
        <f>INDEX(products!$A$1:$G$49,MATCH(orders!$D6,products!$A$1:$A$49,0),MATCH(K$1,products!$A$1:$G$1,0))</f>
        <v>2.5</v>
      </c>
      <c r="L6" s="7">
        <f>INDEX(products!$A$1:$G$49,MATCH(orders!$D6,products!$A$1:$A$49,0),MATCH(L$1,products!$A$1:$G$1,0))</f>
        <v>27.484999999999996</v>
      </c>
      <c r="M6" s="7">
        <f t="shared" si="0"/>
        <v>54.969999999999992</v>
      </c>
      <c r="N6" t="str">
        <f t="shared" si="1"/>
        <v>Robusta</v>
      </c>
      <c r="O6" t="str">
        <f t="shared" si="2"/>
        <v>Light</v>
      </c>
      <c r="P6" t="str">
        <f>_xlfn.XLOOKUP(Table1[[#This Row],[Customer ID]],customers!$A$2:$A$1001,customers!$I$2:$I$1001,,0)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INDEX(products!$A$1:$G$49,MATCH(orders!$D7,products!$A$1:$A$49,0),MATCH(I$1,products!$A$1:$G$1,0))</f>
        <v>Lib</v>
      </c>
      <c r="J7" t="str">
        <f>INDEX(products!$A$1:$G$49,MATCH(orders!$D7,products!$A$1:$A$49,0),MATCH(J$1,products!$A$1:$G$1,0))</f>
        <v>D</v>
      </c>
      <c r="K7" s="6">
        <f>INDEX(products!$A$1:$G$49,MATCH(orders!$D7,products!$A$1:$A$49,0),MATCH(K$1,products!$A$1:$G$1,0))</f>
        <v>1</v>
      </c>
      <c r="L7" s="7">
        <f>INDEX(products!$A$1:$G$49,MATCH(orders!$D7,products!$A$1:$A$49,0),MATCH(L$1,products!$A$1:$G$1,0))</f>
        <v>12.95</v>
      </c>
      <c r="M7" s="7">
        <f t="shared" si="0"/>
        <v>38.849999999999994</v>
      </c>
      <c r="N7" t="str">
        <f t="shared" si="1"/>
        <v>Liberica</v>
      </c>
      <c r="O7" t="str">
        <f t="shared" si="2"/>
        <v>Dark</v>
      </c>
      <c r="P7" t="str">
        <f>_xlfn.XLOOKUP(Table1[[#This Row],[Customer ID]],customers!$A$2:$A$1001,customers!$I$2:$I$1001,,0)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INDEX(products!$A$1:$G$49,MATCH(orders!$D8,products!$A$1:$A$49,0),MATCH(I$1,products!$A$1:$G$1,0))</f>
        <v>Exc</v>
      </c>
      <c r="J8" t="str">
        <f>INDEX(products!$A$1:$G$49,MATCH(orders!$D8,products!$A$1:$A$49,0),MATCH(J$1,products!$A$1:$G$1,0))</f>
        <v>D</v>
      </c>
      <c r="K8" s="6">
        <f>INDEX(products!$A$1:$G$49,MATCH(orders!$D8,products!$A$1:$A$49,0),MATCH(K$1,products!$A$1:$G$1,0))</f>
        <v>0.5</v>
      </c>
      <c r="L8" s="7">
        <f>INDEX(products!$A$1:$G$49,MATCH(orders!$D8,products!$A$1:$A$49,0),MATCH(L$1,products!$A$1:$G$1,0))</f>
        <v>7.29</v>
      </c>
      <c r="M8" s="7">
        <f t="shared" si="0"/>
        <v>21.87</v>
      </c>
      <c r="N8" t="str">
        <f t="shared" si="1"/>
        <v>Excelsa</v>
      </c>
      <c r="O8" t="str">
        <f t="shared" si="2"/>
        <v>Dark</v>
      </c>
      <c r="P8" t="str">
        <f>_xlfn.XLOOKUP(Table1[[#This Row],[Customer ID]],customers!$A$2:$A$1001,customers!$I$2:$I$1001,,0)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INDEX(products!$A$1:$G$49,MATCH(orders!$D9,products!$A$1:$A$49,0),MATCH(I$1,products!$A$1:$G$1,0))</f>
        <v>Lib</v>
      </c>
      <c r="J9" t="str">
        <f>INDEX(products!$A$1:$G$49,MATCH(orders!$D9,products!$A$1:$A$49,0),MATCH(J$1,products!$A$1:$G$1,0))</f>
        <v>L</v>
      </c>
      <c r="K9" s="6">
        <f>INDEX(products!$A$1:$G$49,MATCH(orders!$D9,products!$A$1:$A$49,0),MATCH(K$1,products!$A$1:$G$1,0))</f>
        <v>0.2</v>
      </c>
      <c r="L9" s="7">
        <f>INDEX(products!$A$1:$G$49,MATCH(orders!$D9,products!$A$1:$A$49,0),MATCH(L$1,products!$A$1:$G$1,0))</f>
        <v>4.7549999999999999</v>
      </c>
      <c r="M9" s="7">
        <f t="shared" si="0"/>
        <v>4.7549999999999999</v>
      </c>
      <c r="N9" t="str">
        <f t="shared" si="1"/>
        <v>Liberica</v>
      </c>
      <c r="O9" t="str">
        <f t="shared" si="2"/>
        <v>Light</v>
      </c>
      <c r="P9" t="str">
        <f>_xlfn.XLOOKUP(Table1[[#This Row],[Customer ID]],customers!$A$2:$A$1001,customers!$I$2:$I$1001,,0)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INDEX(products!$A$1:$G$49,MATCH(orders!$D10,products!$A$1:$A$49,0),MATCH(I$1,products!$A$1:$G$1,0))</f>
        <v>Rob</v>
      </c>
      <c r="J10" t="str">
        <f>INDEX(products!$A$1:$G$49,MATCH(orders!$D10,products!$A$1:$A$49,0),MATCH(J$1,products!$A$1:$G$1,0))</f>
        <v>M</v>
      </c>
      <c r="K10" s="6">
        <f>INDEX(products!$A$1:$G$49,MATCH(orders!$D10,products!$A$1:$A$49,0),MATCH(K$1,products!$A$1:$G$1,0))</f>
        <v>0.5</v>
      </c>
      <c r="L10" s="7">
        <f>INDEX(products!$A$1:$G$49,MATCH(orders!$D10,products!$A$1:$A$49,0),MATCH(L$1,products!$A$1:$G$1,0))</f>
        <v>5.97</v>
      </c>
      <c r="M10" s="7">
        <f t="shared" si="0"/>
        <v>17.91</v>
      </c>
      <c r="N10" t="str">
        <f t="shared" si="1"/>
        <v>Robusta</v>
      </c>
      <c r="O10" t="str">
        <f t="shared" si="2"/>
        <v>Medium</v>
      </c>
      <c r="P10" t="str">
        <f>_xlfn.XLOOKUP(Table1[[#This Row],[Customer ID]],customers!$A$2:$A$1001,customers!$I$2:$I$1001,,0)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INDEX(products!$A$1:$G$49,MATCH(orders!$D11,products!$A$1:$A$49,0),MATCH(I$1,products!$A$1:$G$1,0))</f>
        <v>Rob</v>
      </c>
      <c r="J11" t="str">
        <f>INDEX(products!$A$1:$G$49,MATCH(orders!$D11,products!$A$1:$A$49,0),MATCH(J$1,products!$A$1:$G$1,0))</f>
        <v>M</v>
      </c>
      <c r="K11" s="6">
        <f>INDEX(products!$A$1:$G$49,MATCH(orders!$D11,products!$A$1:$A$49,0),MATCH(K$1,products!$A$1:$G$1,0))</f>
        <v>0.5</v>
      </c>
      <c r="L11" s="7">
        <f>INDEX(products!$A$1:$G$49,MATCH(orders!$D11,products!$A$1:$A$49,0),MATCH(L$1,products!$A$1:$G$1,0))</f>
        <v>5.97</v>
      </c>
      <c r="M11" s="7">
        <f t="shared" si="0"/>
        <v>5.97</v>
      </c>
      <c r="N11" t="str">
        <f t="shared" si="1"/>
        <v>Robusta</v>
      </c>
      <c r="O11" t="str">
        <f t="shared" si="2"/>
        <v>Medium</v>
      </c>
      <c r="P11" t="str">
        <f>_xlfn.XLOOKUP(Table1[[#This Row],[Customer ID]],customers!$A$2:$A$1001,customers!$I$2:$I$1001,,0)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INDEX(products!$A$1:$G$49,MATCH(orders!$D12,products!$A$1:$A$49,0),MATCH(I$1,products!$A$1:$G$1,0))</f>
        <v>Ara</v>
      </c>
      <c r="J12" t="str">
        <f>INDEX(products!$A$1:$G$49,MATCH(orders!$D12,products!$A$1:$A$49,0),MATCH(J$1,products!$A$1:$G$1,0))</f>
        <v>D</v>
      </c>
      <c r="K12" s="6">
        <f>INDEX(products!$A$1:$G$49,MATCH(orders!$D12,products!$A$1:$A$49,0),MATCH(K$1,products!$A$1:$G$1,0))</f>
        <v>1</v>
      </c>
      <c r="L12" s="7">
        <f>INDEX(products!$A$1:$G$49,MATCH(orders!$D12,products!$A$1:$A$49,0),MATCH(L$1,products!$A$1:$G$1,0))</f>
        <v>9.9499999999999993</v>
      </c>
      <c r="M12" s="7">
        <f t="shared" si="0"/>
        <v>39.799999999999997</v>
      </c>
      <c r="N12" t="str">
        <f t="shared" si="1"/>
        <v>Arabica</v>
      </c>
      <c r="O12" t="str">
        <f t="shared" si="2"/>
        <v>Dark</v>
      </c>
      <c r="P12" t="str">
        <f>_xlfn.XLOOKUP(Table1[[#This Row],[Customer ID]],customers!$A$2:$A$1001,customers!$I$2:$I$1001,,0)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INDEX(products!$A$1:$G$49,MATCH(orders!$D13,products!$A$1:$A$49,0),MATCH(I$1,products!$A$1:$G$1,0))</f>
        <v>Exc</v>
      </c>
      <c r="J13" t="str">
        <f>INDEX(products!$A$1:$G$49,MATCH(orders!$D13,products!$A$1:$A$49,0),MATCH(J$1,products!$A$1:$G$1,0))</f>
        <v>L</v>
      </c>
      <c r="K13" s="6">
        <f>INDEX(products!$A$1:$G$49,MATCH(orders!$D13,products!$A$1:$A$49,0),MATCH(K$1,products!$A$1:$G$1,0))</f>
        <v>2.5</v>
      </c>
      <c r="L13" s="7">
        <f>INDEX(products!$A$1:$G$49,MATCH(orders!$D13,products!$A$1:$A$49,0),MATCH(L$1,products!$A$1:$G$1,0))</f>
        <v>34.154999999999994</v>
      </c>
      <c r="M13" s="7">
        <f>L13*E13</f>
        <v>170.77499999999998</v>
      </c>
      <c r="N13" t="str">
        <f t="shared" si="1"/>
        <v>Excelsa</v>
      </c>
      <c r="O13" t="str">
        <f t="shared" si="2"/>
        <v>Light</v>
      </c>
      <c r="P13" t="str">
        <f>_xlfn.XLOOKUP(Table1[[#This Row],[Customer ID]],customers!$A$2:$A$1001,customers!$I$2:$I$1001,,0)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INDEX(products!$A$1:$G$49,MATCH(orders!$D14,products!$A$1:$A$49,0),MATCH(I$1,products!$A$1:$G$1,0))</f>
        <v>Rob</v>
      </c>
      <c r="J14" t="str">
        <f>INDEX(products!$A$1:$G$49,MATCH(orders!$D14,products!$A$1:$A$49,0),MATCH(J$1,products!$A$1:$G$1,0))</f>
        <v>M</v>
      </c>
      <c r="K14" s="6">
        <f>INDEX(products!$A$1:$G$49,MATCH(orders!$D14,products!$A$1:$A$49,0),MATCH(K$1,products!$A$1:$G$1,0))</f>
        <v>1</v>
      </c>
      <c r="L14" s="7">
        <f>INDEX(products!$A$1:$G$49,MATCH(orders!$D14,products!$A$1:$A$49,0),MATCH(L$1,products!$A$1:$G$1,0))</f>
        <v>9.9499999999999993</v>
      </c>
      <c r="M14" s="7">
        <f t="shared" si="0"/>
        <v>49.75</v>
      </c>
      <c r="N14" t="str">
        <f t="shared" si="1"/>
        <v>Robusta</v>
      </c>
      <c r="O14" t="str">
        <f t="shared" si="2"/>
        <v>Medium</v>
      </c>
      <c r="P14" t="str">
        <f>_xlfn.XLOOKUP(Table1[[#This Row],[Customer ID]],customers!$A$2:$A$1001,customers!$I$2:$I$1001,,0)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INDEX(products!$A$1:$G$49,MATCH(orders!$D15,products!$A$1:$A$49,0),MATCH(I$1,products!$A$1:$G$1,0))</f>
        <v>Rob</v>
      </c>
      <c r="J15" t="str">
        <f>INDEX(products!$A$1:$G$49,MATCH(orders!$D15,products!$A$1:$A$49,0),MATCH(J$1,products!$A$1:$G$1,0))</f>
        <v>D</v>
      </c>
      <c r="K15" s="6">
        <f>INDEX(products!$A$1:$G$49,MATCH(orders!$D15,products!$A$1:$A$49,0),MATCH(K$1,products!$A$1:$G$1,0))</f>
        <v>2.5</v>
      </c>
      <c r="L15" s="7">
        <f>INDEX(products!$A$1:$G$49,MATCH(orders!$D15,products!$A$1:$A$49,0),MATCH(L$1,products!$A$1:$G$1,0))</f>
        <v>20.584999999999997</v>
      </c>
      <c r="M15" s="7">
        <f t="shared" si="0"/>
        <v>41.169999999999995</v>
      </c>
      <c r="N15" t="str">
        <f t="shared" si="1"/>
        <v>Robusta</v>
      </c>
      <c r="O15" t="str">
        <f t="shared" si="2"/>
        <v>Dark</v>
      </c>
      <c r="P15" t="str">
        <f>_xlfn.XLOOKUP(Table1[[#This Row],[Customer ID]],customers!$A$2:$A$1001,customers!$I$2:$I$1001,,0)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INDEX(products!$A$1:$G$49,MATCH(orders!$D16,products!$A$1:$A$49,0),MATCH(I$1,products!$A$1:$G$1,0))</f>
        <v>Lib</v>
      </c>
      <c r="J16" t="str">
        <f>INDEX(products!$A$1:$G$49,MATCH(orders!$D16,products!$A$1:$A$49,0),MATCH(J$1,products!$A$1:$G$1,0))</f>
        <v>D</v>
      </c>
      <c r="K16" s="6">
        <f>INDEX(products!$A$1:$G$49,MATCH(orders!$D16,products!$A$1:$A$49,0),MATCH(K$1,products!$A$1:$G$1,0))</f>
        <v>0.2</v>
      </c>
      <c r="L16" s="7">
        <f>INDEX(products!$A$1:$G$49,MATCH(orders!$D16,products!$A$1:$A$49,0),MATCH(L$1,products!$A$1:$G$1,0))</f>
        <v>3.8849999999999998</v>
      </c>
      <c r="M16" s="7">
        <f t="shared" si="0"/>
        <v>11.654999999999999</v>
      </c>
      <c r="N16" t="str">
        <f t="shared" si="1"/>
        <v>Liberica</v>
      </c>
      <c r="O16" t="str">
        <f t="shared" si="2"/>
        <v>Dark</v>
      </c>
      <c r="P16" t="str">
        <f>_xlfn.XLOOKUP(Table1[[#This Row],[Customer ID]],customers!$A$2:$A$1001,customers!$I$2:$I$1001,,0)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INDEX(products!$A$1:$G$49,MATCH(orders!$D17,products!$A$1:$A$49,0),MATCH(I$1,products!$A$1:$G$1,0))</f>
        <v>Rob</v>
      </c>
      <c r="J17" t="str">
        <f>INDEX(products!$A$1:$G$49,MATCH(orders!$D17,products!$A$1:$A$49,0),MATCH(J$1,products!$A$1:$G$1,0))</f>
        <v>M</v>
      </c>
      <c r="K17" s="6">
        <f>INDEX(products!$A$1:$G$49,MATCH(orders!$D17,products!$A$1:$A$49,0),MATCH(K$1,products!$A$1:$G$1,0))</f>
        <v>2.5</v>
      </c>
      <c r="L17" s="7">
        <f>INDEX(products!$A$1:$G$49,MATCH(orders!$D17,products!$A$1:$A$49,0),MATCH(L$1,products!$A$1:$G$1,0))</f>
        <v>22.884999999999998</v>
      </c>
      <c r="M17" s="7">
        <f t="shared" si="0"/>
        <v>114.42499999999998</v>
      </c>
      <c r="N17" t="str">
        <f t="shared" si="1"/>
        <v>Robusta</v>
      </c>
      <c r="O17" t="str">
        <f t="shared" si="2"/>
        <v>Medium</v>
      </c>
      <c r="P17" t="str">
        <f>_xlfn.XLOOKUP(Table1[[#This Row],[Customer ID]],customers!$A$2:$A$1001,customers!$I$2:$I$1001,,0)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INDEX(products!$A$1:$G$49,MATCH(orders!$D18,products!$A$1:$A$49,0),MATCH(I$1,products!$A$1:$G$1,0))</f>
        <v>Ara</v>
      </c>
      <c r="J18" t="str">
        <f>INDEX(products!$A$1:$G$49,MATCH(orders!$D18,products!$A$1:$A$49,0),MATCH(J$1,products!$A$1:$G$1,0))</f>
        <v>M</v>
      </c>
      <c r="K18" s="6">
        <f>INDEX(products!$A$1:$G$49,MATCH(orders!$D18,products!$A$1:$A$49,0),MATCH(K$1,products!$A$1:$G$1,0))</f>
        <v>0.2</v>
      </c>
      <c r="L18" s="7">
        <f>INDEX(products!$A$1:$G$49,MATCH(orders!$D18,products!$A$1:$A$49,0),MATCH(L$1,products!$A$1:$G$1,0))</f>
        <v>3.375</v>
      </c>
      <c r="M18" s="7">
        <f t="shared" si="0"/>
        <v>20.25</v>
      </c>
      <c r="N18" t="str">
        <f t="shared" si="1"/>
        <v>Arabica</v>
      </c>
      <c r="O18" t="str">
        <f t="shared" si="2"/>
        <v>Medium</v>
      </c>
      <c r="P18" t="str">
        <f>_xlfn.XLOOKUP(Table1[[#This Row],[Customer ID]],customers!$A$2:$A$1001,customers!$I$2:$I$1001,,0)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INDEX(products!$A$1:$G$49,MATCH(orders!$D19,products!$A$1:$A$49,0),MATCH(I$1,products!$A$1:$G$1,0))</f>
        <v>Ara</v>
      </c>
      <c r="J19" t="str">
        <f>INDEX(products!$A$1:$G$49,MATCH(orders!$D19,products!$A$1:$A$49,0),MATCH(J$1,products!$A$1:$G$1,0))</f>
        <v>L</v>
      </c>
      <c r="K19" s="6">
        <f>INDEX(products!$A$1:$G$49,MATCH(orders!$D19,products!$A$1:$A$49,0),MATCH(K$1,products!$A$1:$G$1,0))</f>
        <v>1</v>
      </c>
      <c r="L19" s="7">
        <f>INDEX(products!$A$1:$G$49,MATCH(orders!$D19,products!$A$1:$A$49,0),MATCH(L$1,products!$A$1:$G$1,0))</f>
        <v>12.95</v>
      </c>
      <c r="M19" s="7">
        <f t="shared" si="0"/>
        <v>77.699999999999989</v>
      </c>
      <c r="N19" t="str">
        <f t="shared" si="1"/>
        <v>Arabica</v>
      </c>
      <c r="O19" t="str">
        <f t="shared" si="2"/>
        <v>Light</v>
      </c>
      <c r="P19" t="str">
        <f>_xlfn.XLOOKUP(Table1[[#This Row],[Customer ID]],customers!$A$2:$A$1001,customers!$I$2:$I$1001,,0)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INDEX(products!$A$1:$G$49,MATCH(orders!$D20,products!$A$1:$A$49,0),MATCH(I$1,products!$A$1:$G$1,0))</f>
        <v>Rob</v>
      </c>
      <c r="J20" t="str">
        <f>INDEX(products!$A$1:$G$49,MATCH(orders!$D20,products!$A$1:$A$49,0),MATCH(J$1,products!$A$1:$G$1,0))</f>
        <v>D</v>
      </c>
      <c r="K20" s="6">
        <f>INDEX(products!$A$1:$G$49,MATCH(orders!$D20,products!$A$1:$A$49,0),MATCH(K$1,products!$A$1:$G$1,0))</f>
        <v>2.5</v>
      </c>
      <c r="L20" s="7">
        <f>INDEX(products!$A$1:$G$49,MATCH(orders!$D20,products!$A$1:$A$49,0),MATCH(L$1,products!$A$1:$G$1,0))</f>
        <v>20.584999999999997</v>
      </c>
      <c r="M20" s="7">
        <f t="shared" si="0"/>
        <v>82.339999999999989</v>
      </c>
      <c r="N20" t="str">
        <f t="shared" si="1"/>
        <v>Robusta</v>
      </c>
      <c r="O20" t="str">
        <f t="shared" si="2"/>
        <v>Dark</v>
      </c>
      <c r="P20" t="str">
        <f>_xlfn.XLOOKUP(Table1[[#This Row],[Customer ID]],customers!$A$2:$A$1001,customers!$I$2:$I$1001,,0)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INDEX(products!$A$1:$G$49,MATCH(orders!$D21,products!$A$1:$A$49,0),MATCH(I$1,products!$A$1:$G$1,0))</f>
        <v>Ara</v>
      </c>
      <c r="J21" t="str">
        <f>INDEX(products!$A$1:$G$49,MATCH(orders!$D21,products!$A$1:$A$49,0),MATCH(J$1,products!$A$1:$G$1,0))</f>
        <v>M</v>
      </c>
      <c r="K21" s="6">
        <f>INDEX(products!$A$1:$G$49,MATCH(orders!$D21,products!$A$1:$A$49,0),MATCH(K$1,products!$A$1:$G$1,0))</f>
        <v>0.2</v>
      </c>
      <c r="L21" s="7">
        <f>INDEX(products!$A$1:$G$49,MATCH(orders!$D21,products!$A$1:$A$49,0),MATCH(L$1,products!$A$1:$G$1,0))</f>
        <v>3.375</v>
      </c>
      <c r="M21" s="7">
        <f t="shared" si="0"/>
        <v>16.875</v>
      </c>
      <c r="N21" t="str">
        <f t="shared" si="1"/>
        <v>Arabica</v>
      </c>
      <c r="O21" t="str">
        <f t="shared" si="2"/>
        <v>Medium</v>
      </c>
      <c r="P21" t="str">
        <f>_xlfn.XLOOKUP(Table1[[#This Row],[Customer ID]],customers!$A$2:$A$1001,customers!$I$2:$I$1001,,0)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INDEX(products!$A$1:$G$49,MATCH(orders!$D22,products!$A$1:$A$49,0),MATCH(I$1,products!$A$1:$G$1,0))</f>
        <v>Exc</v>
      </c>
      <c r="J22" t="str">
        <f>INDEX(products!$A$1:$G$49,MATCH(orders!$D22,products!$A$1:$A$49,0),MATCH(J$1,products!$A$1:$G$1,0))</f>
        <v>D</v>
      </c>
      <c r="K22" s="6">
        <f>INDEX(products!$A$1:$G$49,MATCH(orders!$D22,products!$A$1:$A$49,0),MATCH(K$1,products!$A$1:$G$1,0))</f>
        <v>0.2</v>
      </c>
      <c r="L22" s="7">
        <f>INDEX(products!$A$1:$G$49,MATCH(orders!$D22,products!$A$1:$A$49,0),MATCH(L$1,products!$A$1:$G$1,0))</f>
        <v>3.645</v>
      </c>
      <c r="M22" s="7">
        <f t="shared" si="0"/>
        <v>14.58</v>
      </c>
      <c r="N22" t="str">
        <f t="shared" si="1"/>
        <v>Excelsa</v>
      </c>
      <c r="O22" t="str">
        <f t="shared" si="2"/>
        <v>Dark</v>
      </c>
      <c r="P22" t="str">
        <f>_xlfn.XLOOKUP(Table1[[#This Row],[Customer ID]],customers!$A$2:$A$1001,customers!$I$2:$I$1001,,0)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INDEX(products!$A$1:$G$49,MATCH(orders!$D23,products!$A$1:$A$49,0),MATCH(I$1,products!$A$1:$G$1,0))</f>
        <v>Ara</v>
      </c>
      <c r="J23" t="str">
        <f>INDEX(products!$A$1:$G$49,MATCH(orders!$D23,products!$A$1:$A$49,0),MATCH(J$1,products!$A$1:$G$1,0))</f>
        <v>D</v>
      </c>
      <c r="K23" s="6">
        <f>INDEX(products!$A$1:$G$49,MATCH(orders!$D23,products!$A$1:$A$49,0),MATCH(K$1,products!$A$1:$G$1,0))</f>
        <v>0.2</v>
      </c>
      <c r="L23" s="7">
        <f>INDEX(products!$A$1:$G$49,MATCH(orders!$D23,products!$A$1:$A$49,0),MATCH(L$1,products!$A$1:$G$1,0))</f>
        <v>2.9849999999999999</v>
      </c>
      <c r="M23" s="7">
        <f t="shared" si="0"/>
        <v>17.91</v>
      </c>
      <c r="N23" t="str">
        <f t="shared" si="1"/>
        <v>Arabica</v>
      </c>
      <c r="O23" t="str">
        <f t="shared" si="2"/>
        <v>Dark</v>
      </c>
      <c r="P23" t="str">
        <f>_xlfn.XLOOKUP(Table1[[#This Row],[Customer ID]],customers!$A$2:$A$1001,customers!$I$2:$I$1001,,0)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INDEX(products!$A$1:$G$49,MATCH(orders!$D24,products!$A$1:$A$49,0),MATCH(I$1,products!$A$1:$G$1,0))</f>
        <v>Rob</v>
      </c>
      <c r="J24" t="str">
        <f>INDEX(products!$A$1:$G$49,MATCH(orders!$D24,products!$A$1:$A$49,0),MATCH(J$1,products!$A$1:$G$1,0))</f>
        <v>M</v>
      </c>
      <c r="K24" s="6">
        <f>INDEX(products!$A$1:$G$49,MATCH(orders!$D24,products!$A$1:$A$49,0),MATCH(K$1,products!$A$1:$G$1,0))</f>
        <v>2.5</v>
      </c>
      <c r="L24" s="7">
        <f>INDEX(products!$A$1:$G$49,MATCH(orders!$D24,products!$A$1:$A$49,0),MATCH(L$1,products!$A$1:$G$1,0))</f>
        <v>22.884999999999998</v>
      </c>
      <c r="M24" s="7">
        <f t="shared" si="0"/>
        <v>91.539999999999992</v>
      </c>
      <c r="N24" t="str">
        <f t="shared" si="1"/>
        <v>Robusta</v>
      </c>
      <c r="O24" t="str">
        <f t="shared" si="2"/>
        <v>Medium</v>
      </c>
      <c r="P24" t="str">
        <f>_xlfn.XLOOKUP(Table1[[#This Row],[Customer ID]],customers!$A$2:$A$1001,customers!$I$2:$I$1001,,0)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INDEX(products!$A$1:$G$49,MATCH(orders!$D25,products!$A$1:$A$49,0),MATCH(I$1,products!$A$1:$G$1,0))</f>
        <v>Ara</v>
      </c>
      <c r="J25" t="str">
        <f>INDEX(products!$A$1:$G$49,MATCH(orders!$D25,products!$A$1:$A$49,0),MATCH(J$1,products!$A$1:$G$1,0))</f>
        <v>D</v>
      </c>
      <c r="K25" s="6">
        <f>INDEX(products!$A$1:$G$49,MATCH(orders!$D25,products!$A$1:$A$49,0),MATCH(K$1,products!$A$1:$G$1,0))</f>
        <v>0.2</v>
      </c>
      <c r="L25" s="7">
        <f>INDEX(products!$A$1:$G$49,MATCH(orders!$D25,products!$A$1:$A$49,0),MATCH(L$1,products!$A$1:$G$1,0))</f>
        <v>2.9849999999999999</v>
      </c>
      <c r="M25" s="7">
        <f t="shared" si="0"/>
        <v>11.94</v>
      </c>
      <c r="N25" t="str">
        <f t="shared" si="1"/>
        <v>Arabica</v>
      </c>
      <c r="O25" t="str">
        <f t="shared" si="2"/>
        <v>Dark</v>
      </c>
      <c r="P25" t="str">
        <f>_xlfn.XLOOKUP(Table1[[#This Row],[Customer ID]],customers!$A$2:$A$1001,customers!$I$2:$I$1001,,0)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INDEX(products!$A$1:$G$49,MATCH(orders!$D26,products!$A$1:$A$49,0),MATCH(I$1,products!$A$1:$G$1,0))</f>
        <v>Ara</v>
      </c>
      <c r="J26" t="str">
        <f>INDEX(products!$A$1:$G$49,MATCH(orders!$D26,products!$A$1:$A$49,0),MATCH(J$1,products!$A$1:$G$1,0))</f>
        <v>M</v>
      </c>
      <c r="K26" s="6">
        <f>INDEX(products!$A$1:$G$49,MATCH(orders!$D26,products!$A$1:$A$49,0),MATCH(K$1,products!$A$1:$G$1,0))</f>
        <v>1</v>
      </c>
      <c r="L26" s="7">
        <f>INDEX(products!$A$1:$G$49,MATCH(orders!$D26,products!$A$1:$A$49,0),MATCH(L$1,products!$A$1:$G$1,0))</f>
        <v>11.25</v>
      </c>
      <c r="M26" s="7">
        <f t="shared" si="0"/>
        <v>11.25</v>
      </c>
      <c r="N26" t="str">
        <f t="shared" si="1"/>
        <v>Arabica</v>
      </c>
      <c r="O26" t="str">
        <f t="shared" si="2"/>
        <v>Medium</v>
      </c>
      <c r="P26" t="str">
        <f>_xlfn.XLOOKUP(Table1[[#This Row],[Customer ID]],customers!$A$2:$A$1001,customers!$I$2:$I$1001,,0)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INDEX(products!$A$1:$G$49,MATCH(orders!$D27,products!$A$1:$A$49,0),MATCH(I$1,products!$A$1:$G$1,0))</f>
        <v>Exc</v>
      </c>
      <c r="J27" t="str">
        <f>INDEX(products!$A$1:$G$49,MATCH(orders!$D27,products!$A$1:$A$49,0),MATCH(J$1,products!$A$1:$G$1,0))</f>
        <v>M</v>
      </c>
      <c r="K27" s="6">
        <f>INDEX(products!$A$1:$G$49,MATCH(orders!$D27,products!$A$1:$A$49,0),MATCH(K$1,products!$A$1:$G$1,0))</f>
        <v>0.2</v>
      </c>
      <c r="L27" s="7">
        <f>INDEX(products!$A$1:$G$49,MATCH(orders!$D27,products!$A$1:$A$49,0),MATCH(L$1,products!$A$1:$G$1,0))</f>
        <v>4.125</v>
      </c>
      <c r="M27" s="7">
        <f t="shared" si="0"/>
        <v>12.375</v>
      </c>
      <c r="N27" t="str">
        <f t="shared" si="1"/>
        <v>Excelsa</v>
      </c>
      <c r="O27" t="str">
        <f t="shared" si="2"/>
        <v>Medium</v>
      </c>
      <c r="P27" t="str">
        <f>_xlfn.XLOOKUP(Table1[[#This Row],[Customer ID]],customers!$A$2:$A$1001,customers!$I$2:$I$1001,,0)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INDEX(products!$A$1:$G$49,MATCH(orders!$D28,products!$A$1:$A$49,0),MATCH(I$1,products!$A$1:$G$1,0))</f>
        <v>Ara</v>
      </c>
      <c r="J28" t="str">
        <f>INDEX(products!$A$1:$G$49,MATCH(orders!$D28,products!$A$1:$A$49,0),MATCH(J$1,products!$A$1:$G$1,0))</f>
        <v>M</v>
      </c>
      <c r="K28" s="6">
        <f>INDEX(products!$A$1:$G$49,MATCH(orders!$D28,products!$A$1:$A$49,0),MATCH(K$1,products!$A$1:$G$1,0))</f>
        <v>0.5</v>
      </c>
      <c r="L28" s="7">
        <f>INDEX(products!$A$1:$G$49,MATCH(orders!$D28,products!$A$1:$A$49,0),MATCH(L$1,products!$A$1:$G$1,0))</f>
        <v>6.75</v>
      </c>
      <c r="M28" s="7">
        <f t="shared" si="0"/>
        <v>27</v>
      </c>
      <c r="N28" t="str">
        <f t="shared" si="1"/>
        <v>Arabica</v>
      </c>
      <c r="O28" t="str">
        <f t="shared" si="2"/>
        <v>Medium</v>
      </c>
      <c r="P28" t="str">
        <f>_xlfn.XLOOKUP(Table1[[#This Row],[Customer ID]],customers!$A$2:$A$1001,customers!$I$2:$I$1001,,0)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INDEX(products!$A$1:$G$49,MATCH(orders!$D29,products!$A$1:$A$49,0),MATCH(I$1,products!$A$1:$G$1,0))</f>
        <v>Ara</v>
      </c>
      <c r="J29" t="str">
        <f>INDEX(products!$A$1:$G$49,MATCH(orders!$D29,products!$A$1:$A$49,0),MATCH(J$1,products!$A$1:$G$1,0))</f>
        <v>M</v>
      </c>
      <c r="K29" s="6">
        <f>INDEX(products!$A$1:$G$49,MATCH(orders!$D29,products!$A$1:$A$49,0),MATCH(K$1,products!$A$1:$G$1,0))</f>
        <v>0.2</v>
      </c>
      <c r="L29" s="7">
        <f>INDEX(products!$A$1:$G$49,MATCH(orders!$D29,products!$A$1:$A$49,0),MATCH(L$1,products!$A$1:$G$1,0))</f>
        <v>3.375</v>
      </c>
      <c r="M29" s="7">
        <f t="shared" si="0"/>
        <v>16.875</v>
      </c>
      <c r="N29" t="str">
        <f t="shared" si="1"/>
        <v>Arabica</v>
      </c>
      <c r="O29" t="str">
        <f t="shared" si="2"/>
        <v>Medium</v>
      </c>
      <c r="P29" t="str">
        <f>_xlfn.XLOOKUP(Table1[[#This Row],[Customer ID]],customers!$A$2:$A$1001,customers!$I$2:$I$1001,,0)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INDEX(products!$A$1:$G$49,MATCH(orders!$D30,products!$A$1:$A$49,0),MATCH(I$1,products!$A$1:$G$1,0))</f>
        <v>Ara</v>
      </c>
      <c r="J30" t="str">
        <f>INDEX(products!$A$1:$G$49,MATCH(orders!$D30,products!$A$1:$A$49,0),MATCH(J$1,products!$A$1:$G$1,0))</f>
        <v>D</v>
      </c>
      <c r="K30" s="6">
        <f>INDEX(products!$A$1:$G$49,MATCH(orders!$D30,products!$A$1:$A$49,0),MATCH(K$1,products!$A$1:$G$1,0))</f>
        <v>0.5</v>
      </c>
      <c r="L30" s="7">
        <f>INDEX(products!$A$1:$G$49,MATCH(orders!$D30,products!$A$1:$A$49,0),MATCH(L$1,products!$A$1:$G$1,0))</f>
        <v>5.97</v>
      </c>
      <c r="M30" s="7">
        <f t="shared" si="0"/>
        <v>17.91</v>
      </c>
      <c r="N30" t="str">
        <f t="shared" si="1"/>
        <v>Arabica</v>
      </c>
      <c r="O30" t="str">
        <f t="shared" si="2"/>
        <v>Dark</v>
      </c>
      <c r="P30" t="str">
        <f>_xlfn.XLOOKUP(Table1[[#This Row],[Customer ID]],customers!$A$2:$A$1001,customers!$I$2:$I$1001,,0)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INDEX(products!$A$1:$G$49,MATCH(orders!$D31,products!$A$1:$A$49,0),MATCH(I$1,products!$A$1:$G$1,0))</f>
        <v>Ara</v>
      </c>
      <c r="J31" t="str">
        <f>INDEX(products!$A$1:$G$49,MATCH(orders!$D31,products!$A$1:$A$49,0),MATCH(J$1,products!$A$1:$G$1,0))</f>
        <v>D</v>
      </c>
      <c r="K31" s="6">
        <f>INDEX(products!$A$1:$G$49,MATCH(orders!$D31,products!$A$1:$A$49,0),MATCH(K$1,products!$A$1:$G$1,0))</f>
        <v>1</v>
      </c>
      <c r="L31" s="7">
        <f>INDEX(products!$A$1:$G$49,MATCH(orders!$D31,products!$A$1:$A$49,0),MATCH(L$1,products!$A$1:$G$1,0))</f>
        <v>9.9499999999999993</v>
      </c>
      <c r="M31" s="7">
        <f t="shared" si="0"/>
        <v>39.799999999999997</v>
      </c>
      <c r="N31" t="str">
        <f t="shared" si="1"/>
        <v>Arabica</v>
      </c>
      <c r="O31" t="str">
        <f t="shared" si="2"/>
        <v>Dark</v>
      </c>
      <c r="P31" t="str">
        <f>_xlfn.XLOOKUP(Table1[[#This Row],[Customer ID]],customers!$A$2:$A$1001,customers!$I$2:$I$1001,,0)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INDEX(products!$A$1:$G$49,MATCH(orders!$D32,products!$A$1:$A$49,0),MATCH(I$1,products!$A$1:$G$1,0))</f>
        <v>Lib</v>
      </c>
      <c r="J32" t="str">
        <f>INDEX(products!$A$1:$G$49,MATCH(orders!$D32,products!$A$1:$A$49,0),MATCH(J$1,products!$A$1:$G$1,0))</f>
        <v>M</v>
      </c>
      <c r="K32" s="6">
        <f>INDEX(products!$A$1:$G$49,MATCH(orders!$D32,products!$A$1:$A$49,0),MATCH(K$1,products!$A$1:$G$1,0))</f>
        <v>0.2</v>
      </c>
      <c r="L32" s="7">
        <f>INDEX(products!$A$1:$G$49,MATCH(orders!$D32,products!$A$1:$A$49,0),MATCH(L$1,products!$A$1:$G$1,0))</f>
        <v>4.3650000000000002</v>
      </c>
      <c r="M32" s="7">
        <f t="shared" si="0"/>
        <v>21.825000000000003</v>
      </c>
      <c r="N32" t="str">
        <f t="shared" si="1"/>
        <v>Liberica</v>
      </c>
      <c r="O32" t="str">
        <f t="shared" si="2"/>
        <v>Medium</v>
      </c>
      <c r="P32" t="str">
        <f>_xlfn.XLOOKUP(Table1[[#This Row],[Customer ID]],customers!$A$2:$A$1001,customers!$I$2:$I$1001,,0)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INDEX(products!$A$1:$G$49,MATCH(orders!$D33,products!$A$1:$A$49,0),MATCH(I$1,products!$A$1:$G$1,0))</f>
        <v>Ara</v>
      </c>
      <c r="J33" t="str">
        <f>INDEX(products!$A$1:$G$49,MATCH(orders!$D33,products!$A$1:$A$49,0),MATCH(J$1,products!$A$1:$G$1,0))</f>
        <v>D</v>
      </c>
      <c r="K33" s="6">
        <f>INDEX(products!$A$1:$G$49,MATCH(orders!$D33,products!$A$1:$A$49,0),MATCH(K$1,products!$A$1:$G$1,0))</f>
        <v>0.5</v>
      </c>
      <c r="L33" s="7">
        <f>INDEX(products!$A$1:$G$49,MATCH(orders!$D33,products!$A$1:$A$49,0),MATCH(L$1,products!$A$1:$G$1,0))</f>
        <v>5.97</v>
      </c>
      <c r="M33" s="7">
        <f t="shared" si="0"/>
        <v>35.82</v>
      </c>
      <c r="N33" t="str">
        <f t="shared" si="1"/>
        <v>Arabica</v>
      </c>
      <c r="O33" t="str">
        <f t="shared" si="2"/>
        <v>Dark</v>
      </c>
      <c r="P33" t="str">
        <f>_xlfn.XLOOKUP(Table1[[#This Row],[Customer ID]],customers!$A$2:$A$1001,customers!$I$2:$I$1001,,0)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INDEX(products!$A$1:$G$49,MATCH(orders!$D34,products!$A$1:$A$49,0),MATCH(I$1,products!$A$1:$G$1,0))</f>
        <v>Lib</v>
      </c>
      <c r="J34" t="str">
        <f>INDEX(products!$A$1:$G$49,MATCH(orders!$D34,products!$A$1:$A$49,0),MATCH(J$1,products!$A$1:$G$1,0))</f>
        <v>M</v>
      </c>
      <c r="K34" s="6">
        <f>INDEX(products!$A$1:$G$49,MATCH(orders!$D34,products!$A$1:$A$49,0),MATCH(K$1,products!$A$1:$G$1,0))</f>
        <v>0.5</v>
      </c>
      <c r="L34" s="7">
        <f>INDEX(products!$A$1:$G$49,MATCH(orders!$D34,products!$A$1:$A$49,0),MATCH(L$1,products!$A$1:$G$1,0))</f>
        <v>8.73</v>
      </c>
      <c r="M34" s="7">
        <f t="shared" si="0"/>
        <v>52.38</v>
      </c>
      <c r="N34" t="str">
        <f t="shared" si="1"/>
        <v>Liberica</v>
      </c>
      <c r="O34" t="str">
        <f t="shared" si="2"/>
        <v>Medium</v>
      </c>
      <c r="P34" t="str">
        <f>_xlfn.XLOOKUP(Table1[[#This Row],[Customer ID]],customers!$A$2:$A$1001,customers!$I$2:$I$1001,,0)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INDEX(products!$A$1:$G$49,MATCH(orders!$D35,products!$A$1:$A$49,0),MATCH(I$1,products!$A$1:$G$1,0))</f>
        <v>Lib</v>
      </c>
      <c r="J35" t="str">
        <f>INDEX(products!$A$1:$G$49,MATCH(orders!$D35,products!$A$1:$A$49,0),MATCH(J$1,products!$A$1:$G$1,0))</f>
        <v>L</v>
      </c>
      <c r="K35" s="6">
        <f>INDEX(products!$A$1:$G$49,MATCH(orders!$D35,products!$A$1:$A$49,0),MATCH(K$1,products!$A$1:$G$1,0))</f>
        <v>0.2</v>
      </c>
      <c r="L35" s="7">
        <f>INDEX(products!$A$1:$G$49,MATCH(orders!$D35,products!$A$1:$A$49,0),MATCH(L$1,products!$A$1:$G$1,0))</f>
        <v>4.7549999999999999</v>
      </c>
      <c r="M35" s="7">
        <f t="shared" si="0"/>
        <v>23.774999999999999</v>
      </c>
      <c r="N35" t="str">
        <f t="shared" si="1"/>
        <v>Liberica</v>
      </c>
      <c r="O35" t="str">
        <f t="shared" si="2"/>
        <v>Light</v>
      </c>
      <c r="P35" t="str">
        <f>_xlfn.XLOOKUP(Table1[[#This Row],[Customer ID]],customers!$A$2:$A$1001,customers!$I$2:$I$1001,,0)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INDEX(products!$A$1:$G$49,MATCH(orders!$D36,products!$A$1:$A$49,0),MATCH(I$1,products!$A$1:$G$1,0))</f>
        <v>Lib</v>
      </c>
      <c r="J36" t="str">
        <f>INDEX(products!$A$1:$G$49,MATCH(orders!$D36,products!$A$1:$A$49,0),MATCH(J$1,products!$A$1:$G$1,0))</f>
        <v>L</v>
      </c>
      <c r="K36" s="6">
        <f>INDEX(products!$A$1:$G$49,MATCH(orders!$D36,products!$A$1:$A$49,0),MATCH(K$1,products!$A$1:$G$1,0))</f>
        <v>0.5</v>
      </c>
      <c r="L36" s="7">
        <f>INDEX(products!$A$1:$G$49,MATCH(orders!$D36,products!$A$1:$A$49,0),MATCH(L$1,products!$A$1:$G$1,0))</f>
        <v>9.51</v>
      </c>
      <c r="M36" s="7">
        <f t="shared" si="0"/>
        <v>57.06</v>
      </c>
      <c r="N36" t="str">
        <f t="shared" si="1"/>
        <v>Liberica</v>
      </c>
      <c r="O36" t="str">
        <f t="shared" si="2"/>
        <v>Light</v>
      </c>
      <c r="P36" t="str">
        <f>_xlfn.XLOOKUP(Table1[[#This Row],[Customer ID]],customers!$A$2:$A$1001,customers!$I$2:$I$1001,,0)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INDEX(products!$A$1:$G$49,MATCH(orders!$D37,products!$A$1:$A$49,0),MATCH(I$1,products!$A$1:$G$1,0))</f>
        <v>Ara</v>
      </c>
      <c r="J37" t="str">
        <f>INDEX(products!$A$1:$G$49,MATCH(orders!$D37,products!$A$1:$A$49,0),MATCH(J$1,products!$A$1:$G$1,0))</f>
        <v>D</v>
      </c>
      <c r="K37" s="6">
        <f>INDEX(products!$A$1:$G$49,MATCH(orders!$D37,products!$A$1:$A$49,0),MATCH(K$1,products!$A$1:$G$1,0))</f>
        <v>0.5</v>
      </c>
      <c r="L37" s="7">
        <f>INDEX(products!$A$1:$G$49,MATCH(orders!$D37,products!$A$1:$A$49,0),MATCH(L$1,products!$A$1:$G$1,0))</f>
        <v>5.97</v>
      </c>
      <c r="M37" s="7">
        <f t="shared" si="0"/>
        <v>35.82</v>
      </c>
      <c r="N37" t="str">
        <f t="shared" si="1"/>
        <v>Arabica</v>
      </c>
      <c r="O37" t="str">
        <f t="shared" si="2"/>
        <v>Dark</v>
      </c>
      <c r="P37" t="str">
        <f>_xlfn.XLOOKUP(Table1[[#This Row],[Customer ID]],customers!$A$2:$A$1001,customers!$I$2:$I$1001,,0)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INDEX(products!$A$1:$G$49,MATCH(orders!$D38,products!$A$1:$A$49,0),MATCH(I$1,products!$A$1:$G$1,0))</f>
        <v>Lib</v>
      </c>
      <c r="J38" t="str">
        <f>INDEX(products!$A$1:$G$49,MATCH(orders!$D38,products!$A$1:$A$49,0),MATCH(J$1,products!$A$1:$G$1,0))</f>
        <v>M</v>
      </c>
      <c r="K38" s="6">
        <f>INDEX(products!$A$1:$G$49,MATCH(orders!$D38,products!$A$1:$A$49,0),MATCH(K$1,products!$A$1:$G$1,0))</f>
        <v>0.2</v>
      </c>
      <c r="L38" s="7">
        <f>INDEX(products!$A$1:$G$49,MATCH(orders!$D38,products!$A$1:$A$49,0),MATCH(L$1,products!$A$1:$G$1,0))</f>
        <v>4.3650000000000002</v>
      </c>
      <c r="M38" s="7">
        <f t="shared" si="0"/>
        <v>8.73</v>
      </c>
      <c r="N38" t="str">
        <f t="shared" si="1"/>
        <v>Liberica</v>
      </c>
      <c r="O38" t="str">
        <f t="shared" si="2"/>
        <v>Medium</v>
      </c>
      <c r="P38" t="str">
        <f>_xlfn.XLOOKUP(Table1[[#This Row],[Customer ID]],customers!$A$2:$A$1001,customers!$I$2:$I$1001,,0)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INDEX(products!$A$1:$G$49,MATCH(orders!$D39,products!$A$1:$A$49,0),MATCH(I$1,products!$A$1:$G$1,0))</f>
        <v>Lib</v>
      </c>
      <c r="J39" t="str">
        <f>INDEX(products!$A$1:$G$49,MATCH(orders!$D39,products!$A$1:$A$49,0),MATCH(J$1,products!$A$1:$G$1,0))</f>
        <v>L</v>
      </c>
      <c r="K39" s="6">
        <f>INDEX(products!$A$1:$G$49,MATCH(orders!$D39,products!$A$1:$A$49,0),MATCH(K$1,products!$A$1:$G$1,0))</f>
        <v>0.5</v>
      </c>
      <c r="L39" s="7">
        <f>INDEX(products!$A$1:$G$49,MATCH(orders!$D39,products!$A$1:$A$49,0),MATCH(L$1,products!$A$1:$G$1,0))</f>
        <v>9.51</v>
      </c>
      <c r="M39" s="7">
        <f t="shared" si="0"/>
        <v>28.53</v>
      </c>
      <c r="N39" t="str">
        <f t="shared" si="1"/>
        <v>Liberica</v>
      </c>
      <c r="O39" t="str">
        <f t="shared" si="2"/>
        <v>Light</v>
      </c>
      <c r="P39" t="str">
        <f>_xlfn.XLOOKUP(Table1[[#This Row],[Customer ID]],customers!$A$2:$A$1001,customers!$I$2:$I$1001,,0)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INDEX(products!$A$1:$G$49,MATCH(orders!$D40,products!$A$1:$A$49,0),MATCH(I$1,products!$A$1:$G$1,0))</f>
        <v>Rob</v>
      </c>
      <c r="J40" t="str">
        <f>INDEX(products!$A$1:$G$49,MATCH(orders!$D40,products!$A$1:$A$49,0),MATCH(J$1,products!$A$1:$G$1,0))</f>
        <v>M</v>
      </c>
      <c r="K40" s="6">
        <f>INDEX(products!$A$1:$G$49,MATCH(orders!$D40,products!$A$1:$A$49,0),MATCH(K$1,products!$A$1:$G$1,0))</f>
        <v>2.5</v>
      </c>
      <c r="L40" s="7">
        <f>INDEX(products!$A$1:$G$49,MATCH(orders!$D40,products!$A$1:$A$49,0),MATCH(L$1,products!$A$1:$G$1,0))</f>
        <v>22.884999999999998</v>
      </c>
      <c r="M40" s="7">
        <f t="shared" si="0"/>
        <v>114.42499999999998</v>
      </c>
      <c r="N40" t="str">
        <f t="shared" si="1"/>
        <v>Robusta</v>
      </c>
      <c r="O40" t="str">
        <f t="shared" si="2"/>
        <v>Medium</v>
      </c>
      <c r="P40" t="str">
        <f>_xlfn.XLOOKUP(Table1[[#This Row],[Customer ID]],customers!$A$2:$A$1001,customers!$I$2:$I$1001,,0)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INDEX(products!$A$1:$G$49,MATCH(orders!$D41,products!$A$1:$A$49,0),MATCH(I$1,products!$A$1:$G$1,0))</f>
        <v>Rob</v>
      </c>
      <c r="J41" t="str">
        <f>INDEX(products!$A$1:$G$49,MATCH(orders!$D41,products!$A$1:$A$49,0),MATCH(J$1,products!$A$1:$G$1,0))</f>
        <v>M</v>
      </c>
      <c r="K41" s="6">
        <f>INDEX(products!$A$1:$G$49,MATCH(orders!$D41,products!$A$1:$A$49,0),MATCH(K$1,products!$A$1:$G$1,0))</f>
        <v>1</v>
      </c>
      <c r="L41" s="7">
        <f>INDEX(products!$A$1:$G$49,MATCH(orders!$D41,products!$A$1:$A$49,0),MATCH(L$1,products!$A$1:$G$1,0))</f>
        <v>9.9499999999999993</v>
      </c>
      <c r="M41" s="7">
        <f t="shared" si="0"/>
        <v>59.699999999999996</v>
      </c>
      <c r="N41" t="str">
        <f t="shared" si="1"/>
        <v>Robusta</v>
      </c>
      <c r="O41" t="str">
        <f t="shared" si="2"/>
        <v>Medium</v>
      </c>
      <c r="P41" t="str">
        <f>_xlfn.XLOOKUP(Table1[[#This Row],[Customer ID]],customers!$A$2:$A$1001,customers!$I$2:$I$1001,,0)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INDEX(products!$A$1:$G$49,MATCH(orders!$D42,products!$A$1:$A$49,0),MATCH(I$1,products!$A$1:$G$1,0))</f>
        <v>Lib</v>
      </c>
      <c r="J42" t="str">
        <f>INDEX(products!$A$1:$G$49,MATCH(orders!$D42,products!$A$1:$A$49,0),MATCH(J$1,products!$A$1:$G$1,0))</f>
        <v>M</v>
      </c>
      <c r="K42" s="6">
        <f>INDEX(products!$A$1:$G$49,MATCH(orders!$D42,products!$A$1:$A$49,0),MATCH(K$1,products!$A$1:$G$1,0))</f>
        <v>1</v>
      </c>
      <c r="L42" s="7">
        <f>INDEX(products!$A$1:$G$49,MATCH(orders!$D42,products!$A$1:$A$49,0),MATCH(L$1,products!$A$1:$G$1,0))</f>
        <v>14.55</v>
      </c>
      <c r="M42" s="7">
        <f t="shared" si="0"/>
        <v>43.650000000000006</v>
      </c>
      <c r="N42" t="str">
        <f t="shared" si="1"/>
        <v>Liberica</v>
      </c>
      <c r="O42" t="str">
        <f t="shared" si="2"/>
        <v>Medium</v>
      </c>
      <c r="P42" t="str">
        <f>_xlfn.XLOOKUP(Table1[[#This Row],[Customer ID]],customers!$A$2:$A$1001,customers!$I$2:$I$1001,,0)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INDEX(products!$A$1:$G$49,MATCH(orders!$D43,products!$A$1:$A$49,0),MATCH(I$1,products!$A$1:$G$1,0))</f>
        <v>Exc</v>
      </c>
      <c r="J43" t="str">
        <f>INDEX(products!$A$1:$G$49,MATCH(orders!$D43,products!$A$1:$A$49,0),MATCH(J$1,products!$A$1:$G$1,0))</f>
        <v>D</v>
      </c>
      <c r="K43" s="6">
        <f>INDEX(products!$A$1:$G$49,MATCH(orders!$D43,products!$A$1:$A$49,0),MATCH(K$1,products!$A$1:$G$1,0))</f>
        <v>0.2</v>
      </c>
      <c r="L43" s="7">
        <f>INDEX(products!$A$1:$G$49,MATCH(orders!$D43,products!$A$1:$A$49,0),MATCH(L$1,products!$A$1:$G$1,0))</f>
        <v>3.645</v>
      </c>
      <c r="M43" s="7">
        <f t="shared" si="0"/>
        <v>7.29</v>
      </c>
      <c r="N43" t="str">
        <f t="shared" si="1"/>
        <v>Excelsa</v>
      </c>
      <c r="O43" t="str">
        <f t="shared" si="2"/>
        <v>Dark</v>
      </c>
      <c r="P43" t="str">
        <f>_xlfn.XLOOKUP(Table1[[#This Row],[Customer ID]],customers!$A$2:$A$1001,customers!$I$2:$I$1001,,0)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INDEX(products!$A$1:$G$49,MATCH(orders!$D44,products!$A$1:$A$49,0),MATCH(I$1,products!$A$1:$G$1,0))</f>
        <v>Rob</v>
      </c>
      <c r="J44" t="str">
        <f>INDEX(products!$A$1:$G$49,MATCH(orders!$D44,products!$A$1:$A$49,0),MATCH(J$1,products!$A$1:$G$1,0))</f>
        <v>D</v>
      </c>
      <c r="K44" s="6">
        <f>INDEX(products!$A$1:$G$49,MATCH(orders!$D44,products!$A$1:$A$49,0),MATCH(K$1,products!$A$1:$G$1,0))</f>
        <v>0.2</v>
      </c>
      <c r="L44" s="7">
        <f>INDEX(products!$A$1:$G$49,MATCH(orders!$D44,products!$A$1:$A$49,0),MATCH(L$1,products!$A$1:$G$1,0))</f>
        <v>2.6849999999999996</v>
      </c>
      <c r="M44" s="7">
        <f t="shared" si="0"/>
        <v>8.0549999999999997</v>
      </c>
      <c r="N44" t="str">
        <f t="shared" si="1"/>
        <v>Robusta</v>
      </c>
      <c r="O44" t="str">
        <f t="shared" si="2"/>
        <v>Dark</v>
      </c>
      <c r="P44" t="str">
        <f>_xlfn.XLOOKUP(Table1[[#This Row],[Customer ID]],customers!$A$2:$A$1001,customers!$I$2:$I$1001,,0)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INDEX(products!$A$1:$G$49,MATCH(orders!$D45,products!$A$1:$A$49,0),MATCH(I$1,products!$A$1:$G$1,0))</f>
        <v>Lib</v>
      </c>
      <c r="J45" t="str">
        <f>INDEX(products!$A$1:$G$49,MATCH(orders!$D45,products!$A$1:$A$49,0),MATCH(J$1,products!$A$1:$G$1,0))</f>
        <v>L</v>
      </c>
      <c r="K45" s="6">
        <f>INDEX(products!$A$1:$G$49,MATCH(orders!$D45,products!$A$1:$A$49,0),MATCH(K$1,products!$A$1:$G$1,0))</f>
        <v>2.5</v>
      </c>
      <c r="L45" s="7">
        <f>INDEX(products!$A$1:$G$49,MATCH(orders!$D45,products!$A$1:$A$49,0),MATCH(L$1,products!$A$1:$G$1,0))</f>
        <v>36.454999999999998</v>
      </c>
      <c r="M45" s="7">
        <f t="shared" si="0"/>
        <v>72.91</v>
      </c>
      <c r="N45" t="str">
        <f t="shared" si="1"/>
        <v>Liberica</v>
      </c>
      <c r="O45" t="str">
        <f t="shared" si="2"/>
        <v>Light</v>
      </c>
      <c r="P45" t="str">
        <f>_xlfn.XLOOKUP(Table1[[#This Row],[Customer ID]],customers!$A$2:$A$1001,customers!$I$2:$I$1001,,0)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INDEX(products!$A$1:$G$49,MATCH(orders!$D46,products!$A$1:$A$49,0),MATCH(I$1,products!$A$1:$G$1,0))</f>
        <v>Exc</v>
      </c>
      <c r="J46" t="str">
        <f>INDEX(products!$A$1:$G$49,MATCH(orders!$D46,products!$A$1:$A$49,0),MATCH(J$1,products!$A$1:$G$1,0))</f>
        <v>M</v>
      </c>
      <c r="K46" s="6">
        <f>INDEX(products!$A$1:$G$49,MATCH(orders!$D46,products!$A$1:$A$49,0),MATCH(K$1,products!$A$1:$G$1,0))</f>
        <v>0.5</v>
      </c>
      <c r="L46" s="7">
        <f>INDEX(products!$A$1:$G$49,MATCH(orders!$D46,products!$A$1:$A$49,0),MATCH(L$1,products!$A$1:$G$1,0))</f>
        <v>8.25</v>
      </c>
      <c r="M46" s="7">
        <f t="shared" si="0"/>
        <v>16.5</v>
      </c>
      <c r="N46" t="str">
        <f t="shared" si="1"/>
        <v>Excelsa</v>
      </c>
      <c r="O46" t="str">
        <f t="shared" si="2"/>
        <v>Medium</v>
      </c>
      <c r="P46" t="str">
        <f>_xlfn.XLOOKUP(Table1[[#This Row],[Customer ID]],customers!$A$2:$A$1001,customers!$I$2:$I$1001,,0)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INDEX(products!$A$1:$G$49,MATCH(orders!$D47,products!$A$1:$A$49,0),MATCH(I$1,products!$A$1:$G$1,0))</f>
        <v>Lib</v>
      </c>
      <c r="J47" t="str">
        <f>INDEX(products!$A$1:$G$49,MATCH(orders!$D47,products!$A$1:$A$49,0),MATCH(J$1,products!$A$1:$G$1,0))</f>
        <v>D</v>
      </c>
      <c r="K47" s="6">
        <f>INDEX(products!$A$1:$G$49,MATCH(orders!$D47,products!$A$1:$A$49,0),MATCH(K$1,products!$A$1:$G$1,0))</f>
        <v>2.5</v>
      </c>
      <c r="L47" s="7">
        <f>INDEX(products!$A$1:$G$49,MATCH(orders!$D47,products!$A$1:$A$49,0),MATCH(L$1,products!$A$1:$G$1,0))</f>
        <v>29.784999999999997</v>
      </c>
      <c r="M47" s="7">
        <f t="shared" si="0"/>
        <v>178.70999999999998</v>
      </c>
      <c r="N47" t="str">
        <f t="shared" si="1"/>
        <v>Liberica</v>
      </c>
      <c r="O47" t="str">
        <f t="shared" si="2"/>
        <v>Dark</v>
      </c>
      <c r="P47" t="str">
        <f>_xlfn.XLOOKUP(Table1[[#This Row],[Customer ID]],customers!$A$2:$A$1001,customers!$I$2:$I$1001,,0)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INDEX(products!$A$1:$G$49,MATCH(orders!$D48,products!$A$1:$A$49,0),MATCH(I$1,products!$A$1:$G$1,0))</f>
        <v>Exc</v>
      </c>
      <c r="J48" t="str">
        <f>INDEX(products!$A$1:$G$49,MATCH(orders!$D48,products!$A$1:$A$49,0),MATCH(J$1,products!$A$1:$G$1,0))</f>
        <v>M</v>
      </c>
      <c r="K48" s="6">
        <f>INDEX(products!$A$1:$G$49,MATCH(orders!$D48,products!$A$1:$A$49,0),MATCH(K$1,products!$A$1:$G$1,0))</f>
        <v>2.5</v>
      </c>
      <c r="L48" s="7">
        <f>INDEX(products!$A$1:$G$49,MATCH(orders!$D48,products!$A$1:$A$49,0),MATCH(L$1,products!$A$1:$G$1,0))</f>
        <v>31.624999999999996</v>
      </c>
      <c r="M48" s="7">
        <f t="shared" si="0"/>
        <v>63.249999999999993</v>
      </c>
      <c r="N48" t="str">
        <f t="shared" si="1"/>
        <v>Excelsa</v>
      </c>
      <c r="O48" t="str">
        <f t="shared" si="2"/>
        <v>Medium</v>
      </c>
      <c r="P48" t="str">
        <f>_xlfn.XLOOKUP(Table1[[#This Row],[Customer ID]],customers!$A$2:$A$1001,customers!$I$2:$I$1001,,0)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INDEX(products!$A$1:$G$49,MATCH(orders!$D49,products!$A$1:$A$49,0),MATCH(I$1,products!$A$1:$G$1,0))</f>
        <v>Ara</v>
      </c>
      <c r="J49" t="str">
        <f>INDEX(products!$A$1:$G$49,MATCH(orders!$D49,products!$A$1:$A$49,0),MATCH(J$1,products!$A$1:$G$1,0))</f>
        <v>L</v>
      </c>
      <c r="K49" s="6">
        <f>INDEX(products!$A$1:$G$49,MATCH(orders!$D49,products!$A$1:$A$49,0),MATCH(K$1,products!$A$1:$G$1,0))</f>
        <v>0.2</v>
      </c>
      <c r="L49" s="7">
        <f>INDEX(products!$A$1:$G$49,MATCH(orders!$D49,products!$A$1:$A$49,0),MATCH(L$1,products!$A$1:$G$1,0))</f>
        <v>3.8849999999999998</v>
      </c>
      <c r="M49" s="7">
        <f t="shared" si="0"/>
        <v>7.77</v>
      </c>
      <c r="N49" t="str">
        <f t="shared" si="1"/>
        <v>Arabica</v>
      </c>
      <c r="O49" t="str">
        <f t="shared" si="2"/>
        <v>Light</v>
      </c>
      <c r="P49" t="str">
        <f>_xlfn.XLOOKUP(Table1[[#This Row],[Customer ID]],customers!$A$2:$A$1001,customers!$I$2:$I$1001,,0)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INDEX(products!$A$1:$G$49,MATCH(orders!$D50,products!$A$1:$A$49,0),MATCH(I$1,products!$A$1:$G$1,0))</f>
        <v>Ara</v>
      </c>
      <c r="J50" t="str">
        <f>INDEX(products!$A$1:$G$49,MATCH(orders!$D50,products!$A$1:$A$49,0),MATCH(J$1,products!$A$1:$G$1,0))</f>
        <v>D</v>
      </c>
      <c r="K50" s="6">
        <f>INDEX(products!$A$1:$G$49,MATCH(orders!$D50,products!$A$1:$A$49,0),MATCH(K$1,products!$A$1:$G$1,0))</f>
        <v>2.5</v>
      </c>
      <c r="L50" s="7">
        <f>INDEX(products!$A$1:$G$49,MATCH(orders!$D50,products!$A$1:$A$49,0),MATCH(L$1,products!$A$1:$G$1,0))</f>
        <v>22.884999999999998</v>
      </c>
      <c r="M50" s="7">
        <f t="shared" si="0"/>
        <v>91.539999999999992</v>
      </c>
      <c r="N50" t="str">
        <f t="shared" si="1"/>
        <v>Arabica</v>
      </c>
      <c r="O50" t="str">
        <f t="shared" si="2"/>
        <v>Dark</v>
      </c>
      <c r="P50" t="str">
        <f>_xlfn.XLOOKUP(Table1[[#This Row],[Customer ID]],customers!$A$2:$A$1001,customers!$I$2:$I$1001,,0)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INDEX(products!$A$1:$G$49,MATCH(orders!$D51,products!$A$1:$A$49,0),MATCH(I$1,products!$A$1:$G$1,0))</f>
        <v>Ara</v>
      </c>
      <c r="J51" t="str">
        <f>INDEX(products!$A$1:$G$49,MATCH(orders!$D51,products!$A$1:$A$49,0),MATCH(J$1,products!$A$1:$G$1,0))</f>
        <v>L</v>
      </c>
      <c r="K51" s="6">
        <f>INDEX(products!$A$1:$G$49,MATCH(orders!$D51,products!$A$1:$A$49,0),MATCH(K$1,products!$A$1:$G$1,0))</f>
        <v>1</v>
      </c>
      <c r="L51" s="7">
        <f>INDEX(products!$A$1:$G$49,MATCH(orders!$D51,products!$A$1:$A$49,0),MATCH(L$1,products!$A$1:$G$1,0))</f>
        <v>12.95</v>
      </c>
      <c r="M51" s="7">
        <f t="shared" si="0"/>
        <v>38.849999999999994</v>
      </c>
      <c r="N51" t="str">
        <f t="shared" si="1"/>
        <v>Arabica</v>
      </c>
      <c r="O51" t="str">
        <f t="shared" si="2"/>
        <v>Light</v>
      </c>
      <c r="P51" t="str">
        <f>_xlfn.XLOOKUP(Table1[[#This Row],[Customer ID]],customers!$A$2:$A$1001,customers!$I$2:$I$1001,,0)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INDEX(products!$A$1:$G$49,MATCH(orders!$D52,products!$A$1:$A$49,0),MATCH(I$1,products!$A$1:$G$1,0))</f>
        <v>Lib</v>
      </c>
      <c r="J52" t="str">
        <f>INDEX(products!$A$1:$G$49,MATCH(orders!$D52,products!$A$1:$A$49,0),MATCH(J$1,products!$A$1:$G$1,0))</f>
        <v>D</v>
      </c>
      <c r="K52" s="6">
        <f>INDEX(products!$A$1:$G$49,MATCH(orders!$D52,products!$A$1:$A$49,0),MATCH(K$1,products!$A$1:$G$1,0))</f>
        <v>0.5</v>
      </c>
      <c r="L52" s="7">
        <f>INDEX(products!$A$1:$G$49,MATCH(orders!$D52,products!$A$1:$A$49,0),MATCH(L$1,products!$A$1:$G$1,0))</f>
        <v>7.77</v>
      </c>
      <c r="M52" s="7">
        <f t="shared" si="0"/>
        <v>15.54</v>
      </c>
      <c r="N52" t="str">
        <f t="shared" si="1"/>
        <v>Liberica</v>
      </c>
      <c r="O52" t="str">
        <f t="shared" si="2"/>
        <v>Dark</v>
      </c>
      <c r="P52" t="str">
        <f>_xlfn.XLOOKUP(Table1[[#This Row],[Customer ID]],customers!$A$2:$A$1001,customers!$I$2:$I$1001,,0)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INDEX(products!$A$1:$G$49,MATCH(orders!$D53,products!$A$1:$A$49,0),MATCH(I$1,products!$A$1:$G$1,0))</f>
        <v>Lib</v>
      </c>
      <c r="J53" t="str">
        <f>INDEX(products!$A$1:$G$49,MATCH(orders!$D53,products!$A$1:$A$49,0),MATCH(J$1,products!$A$1:$G$1,0))</f>
        <v>L</v>
      </c>
      <c r="K53" s="6">
        <f>INDEX(products!$A$1:$G$49,MATCH(orders!$D53,products!$A$1:$A$49,0),MATCH(K$1,products!$A$1:$G$1,0))</f>
        <v>2.5</v>
      </c>
      <c r="L53" s="7">
        <f>INDEX(products!$A$1:$G$49,MATCH(orders!$D53,products!$A$1:$A$49,0),MATCH(L$1,products!$A$1:$G$1,0))</f>
        <v>36.454999999999998</v>
      </c>
      <c r="M53" s="7">
        <f t="shared" si="0"/>
        <v>145.82</v>
      </c>
      <c r="N53" t="str">
        <f t="shared" si="1"/>
        <v>Liberica</v>
      </c>
      <c r="O53" t="str">
        <f t="shared" si="2"/>
        <v>Light</v>
      </c>
      <c r="P53" t="str">
        <f>_xlfn.XLOOKUP(Table1[[#This Row],[Customer ID]],customers!$A$2:$A$1001,customers!$I$2:$I$1001,,0)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INDEX(products!$A$1:$G$49,MATCH(orders!$D54,products!$A$1:$A$49,0),MATCH(I$1,products!$A$1:$G$1,0))</f>
        <v>Rob</v>
      </c>
      <c r="J54" t="str">
        <f>INDEX(products!$A$1:$G$49,MATCH(orders!$D54,products!$A$1:$A$49,0),MATCH(J$1,products!$A$1:$G$1,0))</f>
        <v>M</v>
      </c>
      <c r="K54" s="6">
        <f>INDEX(products!$A$1:$G$49,MATCH(orders!$D54,products!$A$1:$A$49,0),MATCH(K$1,products!$A$1:$G$1,0))</f>
        <v>0.5</v>
      </c>
      <c r="L54" s="7">
        <f>INDEX(products!$A$1:$G$49,MATCH(orders!$D54,products!$A$1:$A$49,0),MATCH(L$1,products!$A$1:$G$1,0))</f>
        <v>5.97</v>
      </c>
      <c r="M54" s="7">
        <f t="shared" si="0"/>
        <v>29.849999999999998</v>
      </c>
      <c r="N54" t="str">
        <f t="shared" si="1"/>
        <v>Robusta</v>
      </c>
      <c r="O54" t="str">
        <f t="shared" si="2"/>
        <v>Medium</v>
      </c>
      <c r="P54" t="str">
        <f>_xlfn.XLOOKUP(Table1[[#This Row],[Customer ID]],customers!$A$2:$A$1001,customers!$I$2:$I$1001,,0)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INDEX(products!$A$1:$G$49,MATCH(orders!$D55,products!$A$1:$A$49,0),MATCH(I$1,products!$A$1:$G$1,0))</f>
        <v>Lib</v>
      </c>
      <c r="J55" t="str">
        <f>INDEX(products!$A$1:$G$49,MATCH(orders!$D55,products!$A$1:$A$49,0),MATCH(J$1,products!$A$1:$G$1,0))</f>
        <v>L</v>
      </c>
      <c r="K55" s="6">
        <f>INDEX(products!$A$1:$G$49,MATCH(orders!$D55,products!$A$1:$A$49,0),MATCH(K$1,products!$A$1:$G$1,0))</f>
        <v>2.5</v>
      </c>
      <c r="L55" s="7">
        <f>INDEX(products!$A$1:$G$49,MATCH(orders!$D55,products!$A$1:$A$49,0),MATCH(L$1,products!$A$1:$G$1,0))</f>
        <v>36.454999999999998</v>
      </c>
      <c r="M55" s="7">
        <f t="shared" si="0"/>
        <v>72.91</v>
      </c>
      <c r="N55" t="str">
        <f t="shared" si="1"/>
        <v>Liberica</v>
      </c>
      <c r="O55" t="str">
        <f t="shared" si="2"/>
        <v>Light</v>
      </c>
      <c r="P55" t="str">
        <f>_xlfn.XLOOKUP(Table1[[#This Row],[Customer ID]],customers!$A$2:$A$1001,customers!$I$2:$I$1001,,0)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INDEX(products!$A$1:$G$49,MATCH(orders!$D56,products!$A$1:$A$49,0),MATCH(I$1,products!$A$1:$G$1,0))</f>
        <v>Lib</v>
      </c>
      <c r="J56" t="str">
        <f>INDEX(products!$A$1:$G$49,MATCH(orders!$D56,products!$A$1:$A$49,0),MATCH(J$1,products!$A$1:$G$1,0))</f>
        <v>M</v>
      </c>
      <c r="K56" s="6">
        <f>INDEX(products!$A$1:$G$49,MATCH(orders!$D56,products!$A$1:$A$49,0),MATCH(K$1,products!$A$1:$G$1,0))</f>
        <v>1</v>
      </c>
      <c r="L56" s="7">
        <f>INDEX(products!$A$1:$G$49,MATCH(orders!$D56,products!$A$1:$A$49,0),MATCH(L$1,products!$A$1:$G$1,0))</f>
        <v>14.55</v>
      </c>
      <c r="M56" s="7">
        <f t="shared" si="0"/>
        <v>72.75</v>
      </c>
      <c r="N56" t="str">
        <f t="shared" si="1"/>
        <v>Liberica</v>
      </c>
      <c r="O56" t="str">
        <f t="shared" si="2"/>
        <v>Medium</v>
      </c>
      <c r="P56" t="str">
        <f>_xlfn.XLOOKUP(Table1[[#This Row],[Customer ID]],customers!$A$2:$A$1001,customers!$I$2:$I$1001,,0)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INDEX(products!$A$1:$G$49,MATCH(orders!$D57,products!$A$1:$A$49,0),MATCH(I$1,products!$A$1:$G$1,0))</f>
        <v>Lib</v>
      </c>
      <c r="J57" t="str">
        <f>INDEX(products!$A$1:$G$49,MATCH(orders!$D57,products!$A$1:$A$49,0),MATCH(J$1,products!$A$1:$G$1,0))</f>
        <v>L</v>
      </c>
      <c r="K57" s="6">
        <f>INDEX(products!$A$1:$G$49,MATCH(orders!$D57,products!$A$1:$A$49,0),MATCH(K$1,products!$A$1:$G$1,0))</f>
        <v>1</v>
      </c>
      <c r="L57" s="7">
        <f>INDEX(products!$A$1:$G$49,MATCH(orders!$D57,products!$A$1:$A$49,0),MATCH(L$1,products!$A$1:$G$1,0))</f>
        <v>15.85</v>
      </c>
      <c r="M57" s="7">
        <f t="shared" si="0"/>
        <v>47.55</v>
      </c>
      <c r="N57" t="str">
        <f t="shared" si="1"/>
        <v>Liberica</v>
      </c>
      <c r="O57" t="str">
        <f t="shared" si="2"/>
        <v>Light</v>
      </c>
      <c r="P57" t="str">
        <f>_xlfn.XLOOKUP(Table1[[#This Row],[Customer ID]],customers!$A$2:$A$1001,customers!$I$2:$I$1001,,0)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INDEX(products!$A$1:$G$49,MATCH(orders!$D58,products!$A$1:$A$49,0),MATCH(I$1,products!$A$1:$G$1,0))</f>
        <v>Exc</v>
      </c>
      <c r="J58" t="str">
        <f>INDEX(products!$A$1:$G$49,MATCH(orders!$D58,products!$A$1:$A$49,0),MATCH(J$1,products!$A$1:$G$1,0))</f>
        <v>D</v>
      </c>
      <c r="K58" s="6">
        <f>INDEX(products!$A$1:$G$49,MATCH(orders!$D58,products!$A$1:$A$49,0),MATCH(K$1,products!$A$1:$G$1,0))</f>
        <v>0.2</v>
      </c>
      <c r="L58" s="7">
        <f>INDEX(products!$A$1:$G$49,MATCH(orders!$D58,products!$A$1:$A$49,0),MATCH(L$1,products!$A$1:$G$1,0))</f>
        <v>3.645</v>
      </c>
      <c r="M58" s="7">
        <f t="shared" si="0"/>
        <v>10.935</v>
      </c>
      <c r="N58" t="str">
        <f t="shared" si="1"/>
        <v>Excelsa</v>
      </c>
      <c r="O58" t="str">
        <f t="shared" si="2"/>
        <v>Dark</v>
      </c>
      <c r="P58" t="str">
        <f>_xlfn.XLOOKUP(Table1[[#This Row],[Customer ID]],customers!$A$2:$A$1001,customers!$I$2:$I$1001,,0)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INDEX(products!$A$1:$G$49,MATCH(orders!$D59,products!$A$1:$A$49,0),MATCH(I$1,products!$A$1:$G$1,0))</f>
        <v>Exc</v>
      </c>
      <c r="J59" t="str">
        <f>INDEX(products!$A$1:$G$49,MATCH(orders!$D59,products!$A$1:$A$49,0),MATCH(J$1,products!$A$1:$G$1,0))</f>
        <v>L</v>
      </c>
      <c r="K59" s="6">
        <f>INDEX(products!$A$1:$G$49,MATCH(orders!$D59,products!$A$1:$A$49,0),MATCH(K$1,products!$A$1:$G$1,0))</f>
        <v>1</v>
      </c>
      <c r="L59" s="7">
        <f>INDEX(products!$A$1:$G$49,MATCH(orders!$D59,products!$A$1:$A$49,0),MATCH(L$1,products!$A$1:$G$1,0))</f>
        <v>14.85</v>
      </c>
      <c r="M59" s="7">
        <f t="shared" si="0"/>
        <v>59.4</v>
      </c>
      <c r="N59" t="str">
        <f t="shared" si="1"/>
        <v>Excelsa</v>
      </c>
      <c r="O59" t="str">
        <f t="shared" si="2"/>
        <v>Light</v>
      </c>
      <c r="P59" t="str">
        <f>_xlfn.XLOOKUP(Table1[[#This Row],[Customer ID]],customers!$A$2:$A$1001,customers!$I$2:$I$1001,,0)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INDEX(products!$A$1:$G$49,MATCH(orders!$D60,products!$A$1:$A$49,0),MATCH(I$1,products!$A$1:$G$1,0))</f>
        <v>Lib</v>
      </c>
      <c r="J60" t="str">
        <f>INDEX(products!$A$1:$G$49,MATCH(orders!$D60,products!$A$1:$A$49,0),MATCH(J$1,products!$A$1:$G$1,0))</f>
        <v>D</v>
      </c>
      <c r="K60" s="6">
        <f>INDEX(products!$A$1:$G$49,MATCH(orders!$D60,products!$A$1:$A$49,0),MATCH(K$1,products!$A$1:$G$1,0))</f>
        <v>2.5</v>
      </c>
      <c r="L60" s="7">
        <f>INDEX(products!$A$1:$G$49,MATCH(orders!$D60,products!$A$1:$A$49,0),MATCH(L$1,products!$A$1:$G$1,0))</f>
        <v>29.784999999999997</v>
      </c>
      <c r="M60" s="7">
        <f t="shared" si="0"/>
        <v>89.35499999999999</v>
      </c>
      <c r="N60" t="str">
        <f t="shared" si="1"/>
        <v>Liberica</v>
      </c>
      <c r="O60" t="str">
        <f t="shared" si="2"/>
        <v>Dark</v>
      </c>
      <c r="P60" t="str">
        <f>_xlfn.XLOOKUP(Table1[[#This Row],[Customer ID]],customers!$A$2:$A$1001,customers!$I$2:$I$1001,,0)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INDEX(products!$A$1:$G$49,MATCH(orders!$D61,products!$A$1:$A$49,0),MATCH(I$1,products!$A$1:$G$1,0))</f>
        <v>Lib</v>
      </c>
      <c r="J61" t="str">
        <f>INDEX(products!$A$1:$G$49,MATCH(orders!$D61,products!$A$1:$A$49,0),MATCH(J$1,products!$A$1:$G$1,0))</f>
        <v>M</v>
      </c>
      <c r="K61" s="6">
        <f>INDEX(products!$A$1:$G$49,MATCH(orders!$D61,products!$A$1:$A$49,0),MATCH(K$1,products!$A$1:$G$1,0))</f>
        <v>0.5</v>
      </c>
      <c r="L61" s="7">
        <f>INDEX(products!$A$1:$G$49,MATCH(orders!$D61,products!$A$1:$A$49,0),MATCH(L$1,products!$A$1:$G$1,0))</f>
        <v>8.73</v>
      </c>
      <c r="M61" s="7">
        <f t="shared" si="0"/>
        <v>26.19</v>
      </c>
      <c r="N61" t="str">
        <f t="shared" si="1"/>
        <v>Liberica</v>
      </c>
      <c r="O61" t="str">
        <f t="shared" si="2"/>
        <v>Medium</v>
      </c>
      <c r="P61" t="str">
        <f>_xlfn.XLOOKUP(Table1[[#This Row],[Customer ID]],customers!$A$2:$A$1001,customers!$I$2:$I$1001,,0)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INDEX(products!$A$1:$G$49,MATCH(orders!$D62,products!$A$1:$A$49,0),MATCH(I$1,products!$A$1:$G$1,0))</f>
        <v>Ara</v>
      </c>
      <c r="J62" t="str">
        <f>INDEX(products!$A$1:$G$49,MATCH(orders!$D62,products!$A$1:$A$49,0),MATCH(J$1,products!$A$1:$G$1,0))</f>
        <v>D</v>
      </c>
      <c r="K62" s="6">
        <f>INDEX(products!$A$1:$G$49,MATCH(orders!$D62,products!$A$1:$A$49,0),MATCH(K$1,products!$A$1:$G$1,0))</f>
        <v>2.5</v>
      </c>
      <c r="L62" s="7">
        <f>INDEX(products!$A$1:$G$49,MATCH(orders!$D62,products!$A$1:$A$49,0),MATCH(L$1,products!$A$1:$G$1,0))</f>
        <v>22.884999999999998</v>
      </c>
      <c r="M62" s="7">
        <f t="shared" si="0"/>
        <v>114.42499999999998</v>
      </c>
      <c r="N62" t="str">
        <f t="shared" si="1"/>
        <v>Arabica</v>
      </c>
      <c r="O62" t="str">
        <f t="shared" si="2"/>
        <v>Dark</v>
      </c>
      <c r="P62" t="str">
        <f>_xlfn.XLOOKUP(Table1[[#This Row],[Customer ID]],customers!$A$2:$A$1001,customers!$I$2:$I$1001,,0)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INDEX(products!$A$1:$G$49,MATCH(orders!$D63,products!$A$1:$A$49,0),MATCH(I$1,products!$A$1:$G$1,0))</f>
        <v>Rob</v>
      </c>
      <c r="J63" t="str">
        <f>INDEX(products!$A$1:$G$49,MATCH(orders!$D63,products!$A$1:$A$49,0),MATCH(J$1,products!$A$1:$G$1,0))</f>
        <v>D</v>
      </c>
      <c r="K63" s="6">
        <f>INDEX(products!$A$1:$G$49,MATCH(orders!$D63,products!$A$1:$A$49,0),MATCH(K$1,products!$A$1:$G$1,0))</f>
        <v>0.5</v>
      </c>
      <c r="L63" s="7">
        <f>INDEX(products!$A$1:$G$49,MATCH(orders!$D63,products!$A$1:$A$49,0),MATCH(L$1,products!$A$1:$G$1,0))</f>
        <v>5.3699999999999992</v>
      </c>
      <c r="M63" s="7">
        <f t="shared" si="0"/>
        <v>26.849999999999994</v>
      </c>
      <c r="N63" t="str">
        <f t="shared" si="1"/>
        <v>Robusta</v>
      </c>
      <c r="O63" t="str">
        <f t="shared" si="2"/>
        <v>Dark</v>
      </c>
      <c r="P63" t="str">
        <f>_xlfn.XLOOKUP(Table1[[#This Row],[Customer ID]],customers!$A$2:$A$1001,customers!$I$2:$I$1001,,0)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INDEX(products!$A$1:$G$49,MATCH(orders!$D64,products!$A$1:$A$49,0),MATCH(I$1,products!$A$1:$G$1,0))</f>
        <v>Lib</v>
      </c>
      <c r="J64" t="str">
        <f>INDEX(products!$A$1:$G$49,MATCH(orders!$D64,products!$A$1:$A$49,0),MATCH(J$1,products!$A$1:$G$1,0))</f>
        <v>L</v>
      </c>
      <c r="K64" s="6">
        <f>INDEX(products!$A$1:$G$49,MATCH(orders!$D64,products!$A$1:$A$49,0),MATCH(K$1,products!$A$1:$G$1,0))</f>
        <v>0.2</v>
      </c>
      <c r="L64" s="7">
        <f>INDEX(products!$A$1:$G$49,MATCH(orders!$D64,products!$A$1:$A$49,0),MATCH(L$1,products!$A$1:$G$1,0))</f>
        <v>4.7549999999999999</v>
      </c>
      <c r="M64" s="7">
        <f t="shared" si="0"/>
        <v>23.774999999999999</v>
      </c>
      <c r="N64" t="str">
        <f t="shared" si="1"/>
        <v>Liberica</v>
      </c>
      <c r="O64" t="str">
        <f t="shared" si="2"/>
        <v>Light</v>
      </c>
      <c r="P64" t="str">
        <f>_xlfn.XLOOKUP(Table1[[#This Row],[Customer ID]],customers!$A$2:$A$1001,customers!$I$2:$I$1001,,0)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INDEX(products!$A$1:$G$49,MATCH(orders!$D65,products!$A$1:$A$49,0),MATCH(I$1,products!$A$1:$G$1,0))</f>
        <v>Ara</v>
      </c>
      <c r="J65" t="str">
        <f>INDEX(products!$A$1:$G$49,MATCH(orders!$D65,products!$A$1:$A$49,0),MATCH(J$1,products!$A$1:$G$1,0))</f>
        <v>M</v>
      </c>
      <c r="K65" s="6">
        <f>INDEX(products!$A$1:$G$49,MATCH(orders!$D65,products!$A$1:$A$49,0),MATCH(K$1,products!$A$1:$G$1,0))</f>
        <v>0.5</v>
      </c>
      <c r="L65" s="7">
        <f>INDEX(products!$A$1:$G$49,MATCH(orders!$D65,products!$A$1:$A$49,0),MATCH(L$1,products!$A$1:$G$1,0))</f>
        <v>6.75</v>
      </c>
      <c r="M65" s="7">
        <f t="shared" si="0"/>
        <v>6.75</v>
      </c>
      <c r="N65" t="str">
        <f t="shared" si="1"/>
        <v>Arabica</v>
      </c>
      <c r="O65" t="str">
        <f t="shared" si="2"/>
        <v>Medium</v>
      </c>
      <c r="P65" t="str">
        <f>_xlfn.XLOOKUP(Table1[[#This Row],[Customer ID]],customers!$A$2:$A$1001,customers!$I$2:$I$1001,,0)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INDEX(products!$A$1:$G$49,MATCH(orders!$D66,products!$A$1:$A$49,0),MATCH(I$1,products!$A$1:$G$1,0))</f>
        <v>Rob</v>
      </c>
      <c r="J66" t="str">
        <f>INDEX(products!$A$1:$G$49,MATCH(orders!$D66,products!$A$1:$A$49,0),MATCH(J$1,products!$A$1:$G$1,0))</f>
        <v>M</v>
      </c>
      <c r="K66" s="6">
        <f>INDEX(products!$A$1:$G$49,MATCH(orders!$D66,products!$A$1:$A$49,0),MATCH(K$1,products!$A$1:$G$1,0))</f>
        <v>0.5</v>
      </c>
      <c r="L66" s="7">
        <f>INDEX(products!$A$1:$G$49,MATCH(orders!$D66,products!$A$1:$A$49,0),MATCH(L$1,products!$A$1:$G$1,0))</f>
        <v>5.97</v>
      </c>
      <c r="M66" s="7">
        <f t="shared" si="0"/>
        <v>35.82</v>
      </c>
      <c r="N66" t="str">
        <f t="shared" si="1"/>
        <v>Robusta</v>
      </c>
      <c r="O66" t="str">
        <f t="shared" si="2"/>
        <v>Medium</v>
      </c>
      <c r="P66" t="str">
        <f>_xlfn.XLOOKUP(Table1[[#This Row],[Customer ID]],customers!$A$2:$A$1001,customers!$I$2:$I$1001,,0)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INDEX(products!$A$1:$G$49,MATCH(orders!$D67,products!$A$1:$A$49,0),MATCH(I$1,products!$A$1:$G$1,0))</f>
        <v>Rob</v>
      </c>
      <c r="J67" t="str">
        <f>INDEX(products!$A$1:$G$49,MATCH(orders!$D67,products!$A$1:$A$49,0),MATCH(J$1,products!$A$1:$G$1,0))</f>
        <v>D</v>
      </c>
      <c r="K67" s="6">
        <f>INDEX(products!$A$1:$G$49,MATCH(orders!$D67,products!$A$1:$A$49,0),MATCH(K$1,products!$A$1:$G$1,0))</f>
        <v>2.5</v>
      </c>
      <c r="L67" s="7">
        <f>INDEX(products!$A$1:$G$49,MATCH(orders!$D67,products!$A$1:$A$49,0),MATCH(L$1,products!$A$1:$G$1,0))</f>
        <v>20.584999999999997</v>
      </c>
      <c r="M67" s="7">
        <f t="shared" ref="M67:M130" si="3">L67*E67</f>
        <v>82.339999999999989</v>
      </c>
      <c r="N67" t="str">
        <f t="shared" ref="N67:N130" si="4">IF(I67="Rob","Robusta",IF(I67="Exc","Excelsa",IF(I67="Ara","Arabica",IF(I67="Lib","Liberica",""))))</f>
        <v>Robusta</v>
      </c>
      <c r="O67" t="str">
        <f t="shared" ref="O67:O130" si="5">IF(J67="M","Medium",IF(J67="L","Light",IF(J67="D","Dark","")))</f>
        <v>Dark</v>
      </c>
      <c r="P67" t="str">
        <f>_xlfn.XLOOKUP(Table1[[#This Row],[Customer ID]],customers!$A$2:$A$1001,customers!$I$2:$I$1001,,0)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INDEX(products!$A$1:$G$49,MATCH(orders!$D68,products!$A$1:$A$49,0),MATCH(I$1,products!$A$1:$G$1,0))</f>
        <v>Rob</v>
      </c>
      <c r="J68" t="str">
        <f>INDEX(products!$A$1:$G$49,MATCH(orders!$D68,products!$A$1:$A$49,0),MATCH(J$1,products!$A$1:$G$1,0))</f>
        <v>L</v>
      </c>
      <c r="K68" s="6">
        <f>INDEX(products!$A$1:$G$49,MATCH(orders!$D68,products!$A$1:$A$49,0),MATCH(K$1,products!$A$1:$G$1,0))</f>
        <v>0.5</v>
      </c>
      <c r="L68" s="7">
        <f>INDEX(products!$A$1:$G$49,MATCH(orders!$D68,products!$A$1:$A$49,0),MATCH(L$1,products!$A$1:$G$1,0))</f>
        <v>7.169999999999999</v>
      </c>
      <c r="M68" s="7">
        <f t="shared" si="3"/>
        <v>7.169999999999999</v>
      </c>
      <c r="N68" t="str">
        <f t="shared" si="4"/>
        <v>Robusta</v>
      </c>
      <c r="O68" t="str">
        <f t="shared" si="5"/>
        <v>Light</v>
      </c>
      <c r="P68" t="str">
        <f>_xlfn.XLOOKUP(Table1[[#This Row],[Customer ID]],customers!$A$2:$A$1001,customers!$I$2:$I$1001,,0)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INDEX(products!$A$1:$G$49,MATCH(orders!$D69,products!$A$1:$A$49,0),MATCH(I$1,products!$A$1:$G$1,0))</f>
        <v>Lib</v>
      </c>
      <c r="J69" t="str">
        <f>INDEX(products!$A$1:$G$49,MATCH(orders!$D69,products!$A$1:$A$49,0),MATCH(J$1,products!$A$1:$G$1,0))</f>
        <v>L</v>
      </c>
      <c r="K69" s="6">
        <f>INDEX(products!$A$1:$G$49,MATCH(orders!$D69,products!$A$1:$A$49,0),MATCH(K$1,products!$A$1:$G$1,0))</f>
        <v>0.2</v>
      </c>
      <c r="L69" s="7">
        <f>INDEX(products!$A$1:$G$49,MATCH(orders!$D69,products!$A$1:$A$49,0),MATCH(L$1,products!$A$1:$G$1,0))</f>
        <v>4.7549999999999999</v>
      </c>
      <c r="M69" s="7">
        <f t="shared" si="3"/>
        <v>9.51</v>
      </c>
      <c r="N69" t="str">
        <f t="shared" si="4"/>
        <v>Liberica</v>
      </c>
      <c r="O69" t="str">
        <f t="shared" si="5"/>
        <v>Light</v>
      </c>
      <c r="P69" t="str">
        <f>_xlfn.XLOOKUP(Table1[[#This Row],[Customer ID]],customers!$A$2:$A$1001,customers!$I$2:$I$1001,,0)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INDEX(products!$A$1:$G$49,MATCH(orders!$D70,products!$A$1:$A$49,0),MATCH(I$1,products!$A$1:$G$1,0))</f>
        <v>Rob</v>
      </c>
      <c r="J70" t="str">
        <f>INDEX(products!$A$1:$G$49,MATCH(orders!$D70,products!$A$1:$A$49,0),MATCH(J$1,products!$A$1:$G$1,0))</f>
        <v>M</v>
      </c>
      <c r="K70" s="6">
        <f>INDEX(products!$A$1:$G$49,MATCH(orders!$D70,products!$A$1:$A$49,0),MATCH(K$1,products!$A$1:$G$1,0))</f>
        <v>0.2</v>
      </c>
      <c r="L70" s="7">
        <f>INDEX(products!$A$1:$G$49,MATCH(orders!$D70,products!$A$1:$A$49,0),MATCH(L$1,products!$A$1:$G$1,0))</f>
        <v>2.9849999999999999</v>
      </c>
      <c r="M70" s="7">
        <f t="shared" si="3"/>
        <v>2.9849999999999999</v>
      </c>
      <c r="N70" t="str">
        <f t="shared" si="4"/>
        <v>Robusta</v>
      </c>
      <c r="O70" t="str">
        <f t="shared" si="5"/>
        <v>Medium</v>
      </c>
      <c r="P70" t="str">
        <f>_xlfn.XLOOKUP(Table1[[#This Row],[Customer ID]],customers!$A$2:$A$1001,customers!$I$2:$I$1001,,0)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INDEX(products!$A$1:$G$49,MATCH(orders!$D71,products!$A$1:$A$49,0),MATCH(I$1,products!$A$1:$G$1,0))</f>
        <v>Rob</v>
      </c>
      <c r="J71" t="str">
        <f>INDEX(products!$A$1:$G$49,MATCH(orders!$D71,products!$A$1:$A$49,0),MATCH(J$1,products!$A$1:$G$1,0))</f>
        <v>M</v>
      </c>
      <c r="K71" s="6">
        <f>INDEX(products!$A$1:$G$49,MATCH(orders!$D71,products!$A$1:$A$49,0),MATCH(K$1,products!$A$1:$G$1,0))</f>
        <v>1</v>
      </c>
      <c r="L71" s="7">
        <f>INDEX(products!$A$1:$G$49,MATCH(orders!$D71,products!$A$1:$A$49,0),MATCH(L$1,products!$A$1:$G$1,0))</f>
        <v>9.9499999999999993</v>
      </c>
      <c r="M71" s="7">
        <f t="shared" si="3"/>
        <v>59.699999999999996</v>
      </c>
      <c r="N71" t="str">
        <f t="shared" si="4"/>
        <v>Robusta</v>
      </c>
      <c r="O71" t="str">
        <f t="shared" si="5"/>
        <v>Medium</v>
      </c>
      <c r="P71" t="str">
        <f>_xlfn.XLOOKUP(Table1[[#This Row],[Customer ID]],customers!$A$2:$A$1001,customers!$I$2:$I$1001,,0)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INDEX(products!$A$1:$G$49,MATCH(orders!$D72,products!$A$1:$A$49,0),MATCH(I$1,products!$A$1:$G$1,0))</f>
        <v>Exc</v>
      </c>
      <c r="J72" t="str">
        <f>INDEX(products!$A$1:$G$49,MATCH(orders!$D72,products!$A$1:$A$49,0),MATCH(J$1,products!$A$1:$G$1,0))</f>
        <v>L</v>
      </c>
      <c r="K72" s="6">
        <f>INDEX(products!$A$1:$G$49,MATCH(orders!$D72,products!$A$1:$A$49,0),MATCH(K$1,products!$A$1:$G$1,0))</f>
        <v>2.5</v>
      </c>
      <c r="L72" s="7">
        <f>INDEX(products!$A$1:$G$49,MATCH(orders!$D72,products!$A$1:$A$49,0),MATCH(L$1,products!$A$1:$G$1,0))</f>
        <v>34.154999999999994</v>
      </c>
      <c r="M72" s="7">
        <f t="shared" si="3"/>
        <v>136.61999999999998</v>
      </c>
      <c r="N72" t="str">
        <f t="shared" si="4"/>
        <v>Excelsa</v>
      </c>
      <c r="O72" t="str">
        <f t="shared" si="5"/>
        <v>Light</v>
      </c>
      <c r="P72" t="str">
        <f>_xlfn.XLOOKUP(Table1[[#This Row],[Customer ID]],customers!$A$2:$A$1001,customers!$I$2:$I$1001,,0)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INDEX(products!$A$1:$G$49,MATCH(orders!$D73,products!$A$1:$A$49,0),MATCH(I$1,products!$A$1:$G$1,0))</f>
        <v>Lib</v>
      </c>
      <c r="J73" t="str">
        <f>INDEX(products!$A$1:$G$49,MATCH(orders!$D73,products!$A$1:$A$49,0),MATCH(J$1,products!$A$1:$G$1,0))</f>
        <v>L</v>
      </c>
      <c r="K73" s="6">
        <f>INDEX(products!$A$1:$G$49,MATCH(orders!$D73,products!$A$1:$A$49,0),MATCH(K$1,products!$A$1:$G$1,0))</f>
        <v>0.2</v>
      </c>
      <c r="L73" s="7">
        <f>INDEX(products!$A$1:$G$49,MATCH(orders!$D73,products!$A$1:$A$49,0),MATCH(L$1,products!$A$1:$G$1,0))</f>
        <v>4.7549999999999999</v>
      </c>
      <c r="M73" s="7">
        <f t="shared" si="3"/>
        <v>9.51</v>
      </c>
      <c r="N73" t="str">
        <f t="shared" si="4"/>
        <v>Liberica</v>
      </c>
      <c r="O73" t="str">
        <f t="shared" si="5"/>
        <v>Light</v>
      </c>
      <c r="P73" t="str">
        <f>_xlfn.XLOOKUP(Table1[[#This Row],[Customer ID]],customers!$A$2:$A$1001,customers!$I$2:$I$1001,,0)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INDEX(products!$A$1:$G$49,MATCH(orders!$D74,products!$A$1:$A$49,0),MATCH(I$1,products!$A$1:$G$1,0))</f>
        <v>Ara</v>
      </c>
      <c r="J74" t="str">
        <f>INDEX(products!$A$1:$G$49,MATCH(orders!$D74,products!$A$1:$A$49,0),MATCH(J$1,products!$A$1:$G$1,0))</f>
        <v>M</v>
      </c>
      <c r="K74" s="6">
        <f>INDEX(products!$A$1:$G$49,MATCH(orders!$D74,products!$A$1:$A$49,0),MATCH(K$1,products!$A$1:$G$1,0))</f>
        <v>2.5</v>
      </c>
      <c r="L74" s="7">
        <f>INDEX(products!$A$1:$G$49,MATCH(orders!$D74,products!$A$1:$A$49,0),MATCH(L$1,products!$A$1:$G$1,0))</f>
        <v>25.874999999999996</v>
      </c>
      <c r="M74" s="7">
        <f t="shared" si="3"/>
        <v>77.624999999999986</v>
      </c>
      <c r="N74" t="str">
        <f t="shared" si="4"/>
        <v>Arabica</v>
      </c>
      <c r="O74" t="str">
        <f t="shared" si="5"/>
        <v>Medium</v>
      </c>
      <c r="P74" t="str">
        <f>_xlfn.XLOOKUP(Table1[[#This Row],[Customer ID]],customers!$A$2:$A$1001,customers!$I$2:$I$1001,,0)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INDEX(products!$A$1:$G$49,MATCH(orders!$D75,products!$A$1:$A$49,0),MATCH(I$1,products!$A$1:$G$1,0))</f>
        <v>Lib</v>
      </c>
      <c r="J75" t="str">
        <f>INDEX(products!$A$1:$G$49,MATCH(orders!$D75,products!$A$1:$A$49,0),MATCH(J$1,products!$A$1:$G$1,0))</f>
        <v>M</v>
      </c>
      <c r="K75" s="6">
        <f>INDEX(products!$A$1:$G$49,MATCH(orders!$D75,products!$A$1:$A$49,0),MATCH(K$1,products!$A$1:$G$1,0))</f>
        <v>0.2</v>
      </c>
      <c r="L75" s="7">
        <f>INDEX(products!$A$1:$G$49,MATCH(orders!$D75,products!$A$1:$A$49,0),MATCH(L$1,products!$A$1:$G$1,0))</f>
        <v>4.3650000000000002</v>
      </c>
      <c r="M75" s="7">
        <f t="shared" si="3"/>
        <v>21.825000000000003</v>
      </c>
      <c r="N75" t="str">
        <f t="shared" si="4"/>
        <v>Liberica</v>
      </c>
      <c r="O75" t="str">
        <f t="shared" si="5"/>
        <v>Medium</v>
      </c>
      <c r="P75" t="str">
        <f>_xlfn.XLOOKUP(Table1[[#This Row],[Customer ID]],customers!$A$2:$A$1001,customers!$I$2:$I$1001,,0)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INDEX(products!$A$1:$G$49,MATCH(orders!$D76,products!$A$1:$A$49,0),MATCH(I$1,products!$A$1:$G$1,0))</f>
        <v>Exc</v>
      </c>
      <c r="J76" t="str">
        <f>INDEX(products!$A$1:$G$49,MATCH(orders!$D76,products!$A$1:$A$49,0),MATCH(J$1,products!$A$1:$G$1,0))</f>
        <v>L</v>
      </c>
      <c r="K76" s="6">
        <f>INDEX(products!$A$1:$G$49,MATCH(orders!$D76,products!$A$1:$A$49,0),MATCH(K$1,products!$A$1:$G$1,0))</f>
        <v>0.5</v>
      </c>
      <c r="L76" s="7">
        <f>INDEX(products!$A$1:$G$49,MATCH(orders!$D76,products!$A$1:$A$49,0),MATCH(L$1,products!$A$1:$G$1,0))</f>
        <v>8.91</v>
      </c>
      <c r="M76" s="7">
        <f t="shared" si="3"/>
        <v>17.82</v>
      </c>
      <c r="N76" t="str">
        <f t="shared" si="4"/>
        <v>Excelsa</v>
      </c>
      <c r="O76" t="str">
        <f t="shared" si="5"/>
        <v>Light</v>
      </c>
      <c r="P76" t="str">
        <f>_xlfn.XLOOKUP(Table1[[#This Row],[Customer ID]],customers!$A$2:$A$1001,customers!$I$2:$I$1001,,0)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INDEX(products!$A$1:$G$49,MATCH(orders!$D77,products!$A$1:$A$49,0),MATCH(I$1,products!$A$1:$G$1,0))</f>
        <v>Rob</v>
      </c>
      <c r="J77" t="str">
        <f>INDEX(products!$A$1:$G$49,MATCH(orders!$D77,products!$A$1:$A$49,0),MATCH(J$1,products!$A$1:$G$1,0))</f>
        <v>D</v>
      </c>
      <c r="K77" s="6">
        <f>INDEX(products!$A$1:$G$49,MATCH(orders!$D77,products!$A$1:$A$49,0),MATCH(K$1,products!$A$1:$G$1,0))</f>
        <v>1</v>
      </c>
      <c r="L77" s="7">
        <f>INDEX(products!$A$1:$G$49,MATCH(orders!$D77,products!$A$1:$A$49,0),MATCH(L$1,products!$A$1:$G$1,0))</f>
        <v>8.9499999999999993</v>
      </c>
      <c r="M77" s="7">
        <f t="shared" si="3"/>
        <v>53.699999999999996</v>
      </c>
      <c r="N77" t="str">
        <f t="shared" si="4"/>
        <v>Robusta</v>
      </c>
      <c r="O77" t="str">
        <f t="shared" si="5"/>
        <v>Dark</v>
      </c>
      <c r="P77" t="str">
        <f>_xlfn.XLOOKUP(Table1[[#This Row],[Customer ID]],customers!$A$2:$A$1001,customers!$I$2:$I$1001,,0)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INDEX(products!$A$1:$G$49,MATCH(orders!$D78,products!$A$1:$A$49,0),MATCH(I$1,products!$A$1:$G$1,0))</f>
        <v>Rob</v>
      </c>
      <c r="J78" t="str">
        <f>INDEX(products!$A$1:$G$49,MATCH(orders!$D78,products!$A$1:$A$49,0),MATCH(J$1,products!$A$1:$G$1,0))</f>
        <v>L</v>
      </c>
      <c r="K78" s="6">
        <f>INDEX(products!$A$1:$G$49,MATCH(orders!$D78,products!$A$1:$A$49,0),MATCH(K$1,products!$A$1:$G$1,0))</f>
        <v>0.2</v>
      </c>
      <c r="L78" s="7">
        <f>INDEX(products!$A$1:$G$49,MATCH(orders!$D78,products!$A$1:$A$49,0),MATCH(L$1,products!$A$1:$G$1,0))</f>
        <v>3.5849999999999995</v>
      </c>
      <c r="M78" s="7">
        <f t="shared" si="3"/>
        <v>3.5849999999999995</v>
      </c>
      <c r="N78" t="str">
        <f t="shared" si="4"/>
        <v>Robusta</v>
      </c>
      <c r="O78" t="str">
        <f t="shared" si="5"/>
        <v>Light</v>
      </c>
      <c r="P78" t="str">
        <f>_xlfn.XLOOKUP(Table1[[#This Row],[Customer ID]],customers!$A$2:$A$1001,customers!$I$2:$I$1001,,0)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INDEX(products!$A$1:$G$49,MATCH(orders!$D79,products!$A$1:$A$49,0),MATCH(I$1,products!$A$1:$G$1,0))</f>
        <v>Exc</v>
      </c>
      <c r="J79" t="str">
        <f>INDEX(products!$A$1:$G$49,MATCH(orders!$D79,products!$A$1:$A$49,0),MATCH(J$1,products!$A$1:$G$1,0))</f>
        <v>D</v>
      </c>
      <c r="K79" s="6">
        <f>INDEX(products!$A$1:$G$49,MATCH(orders!$D79,products!$A$1:$A$49,0),MATCH(K$1,products!$A$1:$G$1,0))</f>
        <v>0.2</v>
      </c>
      <c r="L79" s="7">
        <f>INDEX(products!$A$1:$G$49,MATCH(orders!$D79,products!$A$1:$A$49,0),MATCH(L$1,products!$A$1:$G$1,0))</f>
        <v>3.645</v>
      </c>
      <c r="M79" s="7">
        <f t="shared" si="3"/>
        <v>7.29</v>
      </c>
      <c r="N79" t="str">
        <f t="shared" si="4"/>
        <v>Excelsa</v>
      </c>
      <c r="O79" t="str">
        <f t="shared" si="5"/>
        <v>Dark</v>
      </c>
      <c r="P79" t="str">
        <f>_xlfn.XLOOKUP(Table1[[#This Row],[Customer ID]],customers!$A$2:$A$1001,customers!$I$2:$I$1001,,0)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INDEX(products!$A$1:$G$49,MATCH(orders!$D80,products!$A$1:$A$49,0),MATCH(I$1,products!$A$1:$G$1,0))</f>
        <v>Ara</v>
      </c>
      <c r="J80" t="str">
        <f>INDEX(products!$A$1:$G$49,MATCH(orders!$D80,products!$A$1:$A$49,0),MATCH(J$1,products!$A$1:$G$1,0))</f>
        <v>M</v>
      </c>
      <c r="K80" s="6">
        <f>INDEX(products!$A$1:$G$49,MATCH(orders!$D80,products!$A$1:$A$49,0),MATCH(K$1,products!$A$1:$G$1,0))</f>
        <v>0.5</v>
      </c>
      <c r="L80" s="7">
        <f>INDEX(products!$A$1:$G$49,MATCH(orders!$D80,products!$A$1:$A$49,0),MATCH(L$1,products!$A$1:$G$1,0))</f>
        <v>6.75</v>
      </c>
      <c r="M80" s="7">
        <f t="shared" si="3"/>
        <v>40.5</v>
      </c>
      <c r="N80" t="str">
        <f t="shared" si="4"/>
        <v>Arabica</v>
      </c>
      <c r="O80" t="str">
        <f t="shared" si="5"/>
        <v>Medium</v>
      </c>
      <c r="P80" t="str">
        <f>_xlfn.XLOOKUP(Table1[[#This Row],[Customer ID]],customers!$A$2:$A$1001,customers!$I$2:$I$1001,,0)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INDEX(products!$A$1:$G$49,MATCH(orders!$D81,products!$A$1:$A$49,0),MATCH(I$1,products!$A$1:$G$1,0))</f>
        <v>Rob</v>
      </c>
      <c r="J81" t="str">
        <f>INDEX(products!$A$1:$G$49,MATCH(orders!$D81,products!$A$1:$A$49,0),MATCH(J$1,products!$A$1:$G$1,0))</f>
        <v>L</v>
      </c>
      <c r="K81" s="6">
        <f>INDEX(products!$A$1:$G$49,MATCH(orders!$D81,products!$A$1:$A$49,0),MATCH(K$1,products!$A$1:$G$1,0))</f>
        <v>1</v>
      </c>
      <c r="L81" s="7">
        <f>INDEX(products!$A$1:$G$49,MATCH(orders!$D81,products!$A$1:$A$49,0),MATCH(L$1,products!$A$1:$G$1,0))</f>
        <v>11.95</v>
      </c>
      <c r="M81" s="7">
        <f t="shared" si="3"/>
        <v>47.8</v>
      </c>
      <c r="N81" t="str">
        <f t="shared" si="4"/>
        <v>Robusta</v>
      </c>
      <c r="O81" t="str">
        <f t="shared" si="5"/>
        <v>Light</v>
      </c>
      <c r="P81" t="str">
        <f>_xlfn.XLOOKUP(Table1[[#This Row],[Customer ID]],customers!$A$2:$A$1001,customers!$I$2:$I$1001,,0)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INDEX(products!$A$1:$G$49,MATCH(orders!$D82,products!$A$1:$A$49,0),MATCH(I$1,products!$A$1:$G$1,0))</f>
        <v>Ara</v>
      </c>
      <c r="J82" t="str">
        <f>INDEX(products!$A$1:$G$49,MATCH(orders!$D82,products!$A$1:$A$49,0),MATCH(J$1,products!$A$1:$G$1,0))</f>
        <v>L</v>
      </c>
      <c r="K82" s="6">
        <f>INDEX(products!$A$1:$G$49,MATCH(orders!$D82,products!$A$1:$A$49,0),MATCH(K$1,products!$A$1:$G$1,0))</f>
        <v>0.5</v>
      </c>
      <c r="L82" s="7">
        <f>INDEX(products!$A$1:$G$49,MATCH(orders!$D82,products!$A$1:$A$49,0),MATCH(L$1,products!$A$1:$G$1,0))</f>
        <v>7.77</v>
      </c>
      <c r="M82" s="7">
        <f t="shared" si="3"/>
        <v>38.849999999999994</v>
      </c>
      <c r="N82" t="str">
        <f t="shared" si="4"/>
        <v>Arabica</v>
      </c>
      <c r="O82" t="str">
        <f t="shared" si="5"/>
        <v>Light</v>
      </c>
      <c r="P82" t="str">
        <f>_xlfn.XLOOKUP(Table1[[#This Row],[Customer ID]],customers!$A$2:$A$1001,customers!$I$2:$I$1001,,0)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INDEX(products!$A$1:$G$49,MATCH(orders!$D83,products!$A$1:$A$49,0),MATCH(I$1,products!$A$1:$G$1,0))</f>
        <v>Lib</v>
      </c>
      <c r="J83" t="str">
        <f>INDEX(products!$A$1:$G$49,MATCH(orders!$D83,products!$A$1:$A$49,0),MATCH(J$1,products!$A$1:$G$1,0))</f>
        <v>L</v>
      </c>
      <c r="K83" s="6">
        <f>INDEX(products!$A$1:$G$49,MATCH(orders!$D83,products!$A$1:$A$49,0),MATCH(K$1,products!$A$1:$G$1,0))</f>
        <v>2.5</v>
      </c>
      <c r="L83" s="7">
        <f>INDEX(products!$A$1:$G$49,MATCH(orders!$D83,products!$A$1:$A$49,0),MATCH(L$1,products!$A$1:$G$1,0))</f>
        <v>36.454999999999998</v>
      </c>
      <c r="M83" s="7">
        <f t="shared" si="3"/>
        <v>109.36499999999999</v>
      </c>
      <c r="N83" t="str">
        <f t="shared" si="4"/>
        <v>Liberica</v>
      </c>
      <c r="O83" t="str">
        <f t="shared" si="5"/>
        <v>Light</v>
      </c>
      <c r="P83" t="str">
        <f>_xlfn.XLOOKUP(Table1[[#This Row],[Customer ID]],customers!$A$2:$A$1001,customers!$I$2:$I$1001,,0)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INDEX(products!$A$1:$G$49,MATCH(orders!$D84,products!$A$1:$A$49,0),MATCH(I$1,products!$A$1:$G$1,0))</f>
        <v>Lib</v>
      </c>
      <c r="J84" t="str">
        <f>INDEX(products!$A$1:$G$49,MATCH(orders!$D84,products!$A$1:$A$49,0),MATCH(J$1,products!$A$1:$G$1,0))</f>
        <v>M</v>
      </c>
      <c r="K84" s="6">
        <f>INDEX(products!$A$1:$G$49,MATCH(orders!$D84,products!$A$1:$A$49,0),MATCH(K$1,products!$A$1:$G$1,0))</f>
        <v>2.5</v>
      </c>
      <c r="L84" s="7">
        <f>INDEX(products!$A$1:$G$49,MATCH(orders!$D84,products!$A$1:$A$49,0),MATCH(L$1,products!$A$1:$G$1,0))</f>
        <v>33.464999999999996</v>
      </c>
      <c r="M84" s="7">
        <f t="shared" si="3"/>
        <v>100.39499999999998</v>
      </c>
      <c r="N84" t="str">
        <f t="shared" si="4"/>
        <v>Liberica</v>
      </c>
      <c r="O84" t="str">
        <f t="shared" si="5"/>
        <v>Medium</v>
      </c>
      <c r="P84" t="str">
        <f>_xlfn.XLOOKUP(Table1[[#This Row],[Customer ID]],customers!$A$2:$A$1001,customers!$I$2:$I$1001,,0)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INDEX(products!$A$1:$G$49,MATCH(orders!$D85,products!$A$1:$A$49,0),MATCH(I$1,products!$A$1:$G$1,0))</f>
        <v>Rob</v>
      </c>
      <c r="J85" t="str">
        <f>INDEX(products!$A$1:$G$49,MATCH(orders!$D85,products!$A$1:$A$49,0),MATCH(J$1,products!$A$1:$G$1,0))</f>
        <v>D</v>
      </c>
      <c r="K85" s="6">
        <f>INDEX(products!$A$1:$G$49,MATCH(orders!$D85,products!$A$1:$A$49,0),MATCH(K$1,products!$A$1:$G$1,0))</f>
        <v>2.5</v>
      </c>
      <c r="L85" s="7">
        <f>INDEX(products!$A$1:$G$49,MATCH(orders!$D85,products!$A$1:$A$49,0),MATCH(L$1,products!$A$1:$G$1,0))</f>
        <v>20.584999999999997</v>
      </c>
      <c r="M85" s="7">
        <f t="shared" si="3"/>
        <v>82.339999999999989</v>
      </c>
      <c r="N85" t="str">
        <f t="shared" si="4"/>
        <v>Robusta</v>
      </c>
      <c r="O85" t="str">
        <f t="shared" si="5"/>
        <v>Dark</v>
      </c>
      <c r="P85" t="str">
        <f>_xlfn.XLOOKUP(Table1[[#This Row],[Customer ID]],customers!$A$2:$A$1001,customers!$I$2:$I$1001,,0)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INDEX(products!$A$1:$G$49,MATCH(orders!$D86,products!$A$1:$A$49,0),MATCH(I$1,products!$A$1:$G$1,0))</f>
        <v>Lib</v>
      </c>
      <c r="J86" t="str">
        <f>INDEX(products!$A$1:$G$49,MATCH(orders!$D86,products!$A$1:$A$49,0),MATCH(J$1,products!$A$1:$G$1,0))</f>
        <v>L</v>
      </c>
      <c r="K86" s="6">
        <f>INDEX(products!$A$1:$G$49,MATCH(orders!$D86,products!$A$1:$A$49,0),MATCH(K$1,products!$A$1:$G$1,0))</f>
        <v>0.5</v>
      </c>
      <c r="L86" s="7">
        <f>INDEX(products!$A$1:$G$49,MATCH(orders!$D86,products!$A$1:$A$49,0),MATCH(L$1,products!$A$1:$G$1,0))</f>
        <v>9.51</v>
      </c>
      <c r="M86" s="7">
        <f t="shared" si="3"/>
        <v>9.51</v>
      </c>
      <c r="N86" t="str">
        <f t="shared" si="4"/>
        <v>Liberica</v>
      </c>
      <c r="O86" t="str">
        <f t="shared" si="5"/>
        <v>Light</v>
      </c>
      <c r="P86" t="str">
        <f>_xlfn.XLOOKUP(Table1[[#This Row],[Customer ID]],customers!$A$2:$A$1001,customers!$I$2:$I$1001,,0)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INDEX(products!$A$1:$G$49,MATCH(orders!$D87,products!$A$1:$A$49,0),MATCH(I$1,products!$A$1:$G$1,0))</f>
        <v>Ara</v>
      </c>
      <c r="J87" t="str">
        <f>INDEX(products!$A$1:$G$49,MATCH(orders!$D87,products!$A$1:$A$49,0),MATCH(J$1,products!$A$1:$G$1,0))</f>
        <v>L</v>
      </c>
      <c r="K87" s="6">
        <f>INDEX(products!$A$1:$G$49,MATCH(orders!$D87,products!$A$1:$A$49,0),MATCH(K$1,products!$A$1:$G$1,0))</f>
        <v>2.5</v>
      </c>
      <c r="L87" s="7">
        <f>INDEX(products!$A$1:$G$49,MATCH(orders!$D87,products!$A$1:$A$49,0),MATCH(L$1,products!$A$1:$G$1,0))</f>
        <v>29.784999999999997</v>
      </c>
      <c r="M87" s="7">
        <f t="shared" si="3"/>
        <v>89.35499999999999</v>
      </c>
      <c r="N87" t="str">
        <f t="shared" si="4"/>
        <v>Arabica</v>
      </c>
      <c r="O87" t="str">
        <f t="shared" si="5"/>
        <v>Light</v>
      </c>
      <c r="P87" t="str">
        <f>_xlfn.XLOOKUP(Table1[[#This Row],[Customer ID]],customers!$A$2:$A$1001,customers!$I$2:$I$1001,,0)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INDEX(products!$A$1:$G$49,MATCH(orders!$D88,products!$A$1:$A$49,0),MATCH(I$1,products!$A$1:$G$1,0))</f>
        <v>Ara</v>
      </c>
      <c r="J88" t="str">
        <f>INDEX(products!$A$1:$G$49,MATCH(orders!$D88,products!$A$1:$A$49,0),MATCH(J$1,products!$A$1:$G$1,0))</f>
        <v>D</v>
      </c>
      <c r="K88" s="6">
        <f>INDEX(products!$A$1:$G$49,MATCH(orders!$D88,products!$A$1:$A$49,0),MATCH(K$1,products!$A$1:$G$1,0))</f>
        <v>0.2</v>
      </c>
      <c r="L88" s="7">
        <f>INDEX(products!$A$1:$G$49,MATCH(orders!$D88,products!$A$1:$A$49,0),MATCH(L$1,products!$A$1:$G$1,0))</f>
        <v>2.9849999999999999</v>
      </c>
      <c r="M88" s="7">
        <f t="shared" si="3"/>
        <v>11.94</v>
      </c>
      <c r="N88" t="str">
        <f t="shared" si="4"/>
        <v>Arabica</v>
      </c>
      <c r="O88" t="str">
        <f t="shared" si="5"/>
        <v>Dark</v>
      </c>
      <c r="P88" t="str">
        <f>_xlfn.XLOOKUP(Table1[[#This Row],[Customer ID]],customers!$A$2:$A$1001,customers!$I$2:$I$1001,,0)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INDEX(products!$A$1:$G$49,MATCH(orders!$D89,products!$A$1:$A$49,0),MATCH(I$1,products!$A$1:$G$1,0))</f>
        <v>Ara</v>
      </c>
      <c r="J89" t="str">
        <f>INDEX(products!$A$1:$G$49,MATCH(orders!$D89,products!$A$1:$A$49,0),MATCH(J$1,products!$A$1:$G$1,0))</f>
        <v>M</v>
      </c>
      <c r="K89" s="6">
        <f>INDEX(products!$A$1:$G$49,MATCH(orders!$D89,products!$A$1:$A$49,0),MATCH(K$1,products!$A$1:$G$1,0))</f>
        <v>1</v>
      </c>
      <c r="L89" s="7">
        <f>INDEX(products!$A$1:$G$49,MATCH(orders!$D89,products!$A$1:$A$49,0),MATCH(L$1,products!$A$1:$G$1,0))</f>
        <v>11.25</v>
      </c>
      <c r="M89" s="7">
        <f t="shared" si="3"/>
        <v>33.75</v>
      </c>
      <c r="N89" t="str">
        <f t="shared" si="4"/>
        <v>Arabica</v>
      </c>
      <c r="O89" t="str">
        <f t="shared" si="5"/>
        <v>Medium</v>
      </c>
      <c r="P89" t="str">
        <f>_xlfn.XLOOKUP(Table1[[#This Row],[Customer ID]],customers!$A$2:$A$1001,customers!$I$2:$I$1001,,0)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INDEX(products!$A$1:$G$49,MATCH(orders!$D90,products!$A$1:$A$49,0),MATCH(I$1,products!$A$1:$G$1,0))</f>
        <v>Rob</v>
      </c>
      <c r="J90" t="str">
        <f>INDEX(products!$A$1:$G$49,MATCH(orders!$D90,products!$A$1:$A$49,0),MATCH(J$1,products!$A$1:$G$1,0))</f>
        <v>L</v>
      </c>
      <c r="K90" s="6">
        <f>INDEX(products!$A$1:$G$49,MATCH(orders!$D90,products!$A$1:$A$49,0),MATCH(K$1,products!$A$1:$G$1,0))</f>
        <v>1</v>
      </c>
      <c r="L90" s="7">
        <f>INDEX(products!$A$1:$G$49,MATCH(orders!$D90,products!$A$1:$A$49,0),MATCH(L$1,products!$A$1:$G$1,0))</f>
        <v>11.95</v>
      </c>
      <c r="M90" s="7">
        <f t="shared" si="3"/>
        <v>35.849999999999994</v>
      </c>
      <c r="N90" t="str">
        <f t="shared" si="4"/>
        <v>Robusta</v>
      </c>
      <c r="O90" t="str">
        <f t="shared" si="5"/>
        <v>Light</v>
      </c>
      <c r="P90" t="str">
        <f>_xlfn.XLOOKUP(Table1[[#This Row],[Customer ID]],customers!$A$2:$A$1001,customers!$I$2:$I$1001,,0)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INDEX(products!$A$1:$G$49,MATCH(orders!$D91,products!$A$1:$A$49,0),MATCH(I$1,products!$A$1:$G$1,0))</f>
        <v>Ara</v>
      </c>
      <c r="J91" t="str">
        <f>INDEX(products!$A$1:$G$49,MATCH(orders!$D91,products!$A$1:$A$49,0),MATCH(J$1,products!$A$1:$G$1,0))</f>
        <v>L</v>
      </c>
      <c r="K91" s="6">
        <f>INDEX(products!$A$1:$G$49,MATCH(orders!$D91,products!$A$1:$A$49,0),MATCH(K$1,products!$A$1:$G$1,0))</f>
        <v>1</v>
      </c>
      <c r="L91" s="7">
        <f>INDEX(products!$A$1:$G$49,MATCH(orders!$D91,products!$A$1:$A$49,0),MATCH(L$1,products!$A$1:$G$1,0))</f>
        <v>12.95</v>
      </c>
      <c r="M91" s="7">
        <f t="shared" si="3"/>
        <v>77.699999999999989</v>
      </c>
      <c r="N91" t="str">
        <f t="shared" si="4"/>
        <v>Arabica</v>
      </c>
      <c r="O91" t="str">
        <f t="shared" si="5"/>
        <v>Light</v>
      </c>
      <c r="P91" t="str">
        <f>_xlfn.XLOOKUP(Table1[[#This Row],[Customer ID]],customers!$A$2:$A$1001,customers!$I$2:$I$1001,,0)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INDEX(products!$A$1:$G$49,MATCH(orders!$D92,products!$A$1:$A$49,0),MATCH(I$1,products!$A$1:$G$1,0))</f>
        <v>Ara</v>
      </c>
      <c r="J92" t="str">
        <f>INDEX(products!$A$1:$G$49,MATCH(orders!$D92,products!$A$1:$A$49,0),MATCH(J$1,products!$A$1:$G$1,0))</f>
        <v>L</v>
      </c>
      <c r="K92" s="6">
        <f>INDEX(products!$A$1:$G$49,MATCH(orders!$D92,products!$A$1:$A$49,0),MATCH(K$1,products!$A$1:$G$1,0))</f>
        <v>1</v>
      </c>
      <c r="L92" s="7">
        <f>INDEX(products!$A$1:$G$49,MATCH(orders!$D92,products!$A$1:$A$49,0),MATCH(L$1,products!$A$1:$G$1,0))</f>
        <v>12.95</v>
      </c>
      <c r="M92" s="7">
        <f t="shared" si="3"/>
        <v>51.8</v>
      </c>
      <c r="N92" t="str">
        <f t="shared" si="4"/>
        <v>Arabica</v>
      </c>
      <c r="O92" t="str">
        <f t="shared" si="5"/>
        <v>Light</v>
      </c>
      <c r="P92" t="str">
        <f>_xlfn.XLOOKUP(Table1[[#This Row],[Customer ID]],customers!$A$2:$A$1001,customers!$I$2:$I$1001,,0)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INDEX(products!$A$1:$G$49,MATCH(orders!$D93,products!$A$1:$A$49,0),MATCH(I$1,products!$A$1:$G$1,0))</f>
        <v>Ara</v>
      </c>
      <c r="J93" t="str">
        <f>INDEX(products!$A$1:$G$49,MATCH(orders!$D93,products!$A$1:$A$49,0),MATCH(J$1,products!$A$1:$G$1,0))</f>
        <v>M</v>
      </c>
      <c r="K93" s="6">
        <f>INDEX(products!$A$1:$G$49,MATCH(orders!$D93,products!$A$1:$A$49,0),MATCH(K$1,products!$A$1:$G$1,0))</f>
        <v>2.5</v>
      </c>
      <c r="L93" s="7">
        <f>INDEX(products!$A$1:$G$49,MATCH(orders!$D93,products!$A$1:$A$49,0),MATCH(L$1,products!$A$1:$G$1,0))</f>
        <v>25.874999999999996</v>
      </c>
      <c r="M93" s="7">
        <f t="shared" si="3"/>
        <v>103.49999999999999</v>
      </c>
      <c r="N93" t="str">
        <f t="shared" si="4"/>
        <v>Arabica</v>
      </c>
      <c r="O93" t="str">
        <f t="shared" si="5"/>
        <v>Medium</v>
      </c>
      <c r="P93" t="str">
        <f>_xlfn.XLOOKUP(Table1[[#This Row],[Customer ID]],customers!$A$2:$A$1001,customers!$I$2:$I$1001,,0)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INDEX(products!$A$1:$G$49,MATCH(orders!$D94,products!$A$1:$A$49,0),MATCH(I$1,products!$A$1:$G$1,0))</f>
        <v>Exc</v>
      </c>
      <c r="J94" t="str">
        <f>INDEX(products!$A$1:$G$49,MATCH(orders!$D94,products!$A$1:$A$49,0),MATCH(J$1,products!$A$1:$G$1,0))</f>
        <v>L</v>
      </c>
      <c r="K94" s="6">
        <f>INDEX(products!$A$1:$G$49,MATCH(orders!$D94,products!$A$1:$A$49,0),MATCH(K$1,products!$A$1:$G$1,0))</f>
        <v>1</v>
      </c>
      <c r="L94" s="7">
        <f>INDEX(products!$A$1:$G$49,MATCH(orders!$D94,products!$A$1:$A$49,0),MATCH(L$1,products!$A$1:$G$1,0))</f>
        <v>14.85</v>
      </c>
      <c r="M94" s="7">
        <f t="shared" si="3"/>
        <v>44.55</v>
      </c>
      <c r="N94" t="str">
        <f t="shared" si="4"/>
        <v>Excelsa</v>
      </c>
      <c r="O94" t="str">
        <f t="shared" si="5"/>
        <v>Light</v>
      </c>
      <c r="P94" t="str">
        <f>_xlfn.XLOOKUP(Table1[[#This Row],[Customer ID]],customers!$A$2:$A$1001,customers!$I$2:$I$1001,,0)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INDEX(products!$A$1:$G$49,MATCH(orders!$D95,products!$A$1:$A$49,0),MATCH(I$1,products!$A$1:$G$1,0))</f>
        <v>Exc</v>
      </c>
      <c r="J95" t="str">
        <f>INDEX(products!$A$1:$G$49,MATCH(orders!$D95,products!$A$1:$A$49,0),MATCH(J$1,products!$A$1:$G$1,0))</f>
        <v>L</v>
      </c>
      <c r="K95" s="6">
        <f>INDEX(products!$A$1:$G$49,MATCH(orders!$D95,products!$A$1:$A$49,0),MATCH(K$1,products!$A$1:$G$1,0))</f>
        <v>0.5</v>
      </c>
      <c r="L95" s="7">
        <f>INDEX(products!$A$1:$G$49,MATCH(orders!$D95,products!$A$1:$A$49,0),MATCH(L$1,products!$A$1:$G$1,0))</f>
        <v>8.91</v>
      </c>
      <c r="M95" s="7">
        <f t="shared" si="3"/>
        <v>35.64</v>
      </c>
      <c r="N95" t="str">
        <f t="shared" si="4"/>
        <v>Excelsa</v>
      </c>
      <c r="O95" t="str">
        <f t="shared" si="5"/>
        <v>Light</v>
      </c>
      <c r="P95" t="str">
        <f>_xlfn.XLOOKUP(Table1[[#This Row],[Customer ID]],customers!$A$2:$A$1001,customers!$I$2:$I$1001,,0)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INDEX(products!$A$1:$G$49,MATCH(orders!$D96,products!$A$1:$A$49,0),MATCH(I$1,products!$A$1:$G$1,0))</f>
        <v>Ara</v>
      </c>
      <c r="J96" t="str">
        <f>INDEX(products!$A$1:$G$49,MATCH(orders!$D96,products!$A$1:$A$49,0),MATCH(J$1,products!$A$1:$G$1,0))</f>
        <v>D</v>
      </c>
      <c r="K96" s="6">
        <f>INDEX(products!$A$1:$G$49,MATCH(orders!$D96,products!$A$1:$A$49,0),MATCH(K$1,products!$A$1:$G$1,0))</f>
        <v>0.2</v>
      </c>
      <c r="L96" s="7">
        <f>INDEX(products!$A$1:$G$49,MATCH(orders!$D96,products!$A$1:$A$49,0),MATCH(L$1,products!$A$1:$G$1,0))</f>
        <v>2.9849999999999999</v>
      </c>
      <c r="M96" s="7">
        <f t="shared" si="3"/>
        <v>17.91</v>
      </c>
      <c r="N96" t="str">
        <f t="shared" si="4"/>
        <v>Arabica</v>
      </c>
      <c r="O96" t="str">
        <f t="shared" si="5"/>
        <v>Dark</v>
      </c>
      <c r="P96" t="str">
        <f>_xlfn.XLOOKUP(Table1[[#This Row],[Customer ID]],customers!$A$2:$A$1001,customers!$I$2:$I$1001,,0)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INDEX(products!$A$1:$G$49,MATCH(orders!$D97,products!$A$1:$A$49,0),MATCH(I$1,products!$A$1:$G$1,0))</f>
        <v>Ara</v>
      </c>
      <c r="J97" t="str">
        <f>INDEX(products!$A$1:$G$49,MATCH(orders!$D97,products!$A$1:$A$49,0),MATCH(J$1,products!$A$1:$G$1,0))</f>
        <v>M</v>
      </c>
      <c r="K97" s="6">
        <f>INDEX(products!$A$1:$G$49,MATCH(orders!$D97,products!$A$1:$A$49,0),MATCH(K$1,products!$A$1:$G$1,0))</f>
        <v>2.5</v>
      </c>
      <c r="L97" s="7">
        <f>INDEX(products!$A$1:$G$49,MATCH(orders!$D97,products!$A$1:$A$49,0),MATCH(L$1,products!$A$1:$G$1,0))</f>
        <v>25.874999999999996</v>
      </c>
      <c r="M97" s="7">
        <f t="shared" si="3"/>
        <v>155.24999999999997</v>
      </c>
      <c r="N97" t="str">
        <f t="shared" si="4"/>
        <v>Arabica</v>
      </c>
      <c r="O97" t="str">
        <f t="shared" si="5"/>
        <v>Medium</v>
      </c>
      <c r="P97" t="str">
        <f>_xlfn.XLOOKUP(Table1[[#This Row],[Customer ID]],customers!$A$2:$A$1001,customers!$I$2:$I$1001,,0)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INDEX(products!$A$1:$G$49,MATCH(orders!$D98,products!$A$1:$A$49,0),MATCH(I$1,products!$A$1:$G$1,0))</f>
        <v>Ara</v>
      </c>
      <c r="J98" t="str">
        <f>INDEX(products!$A$1:$G$49,MATCH(orders!$D98,products!$A$1:$A$49,0),MATCH(J$1,products!$A$1:$G$1,0))</f>
        <v>D</v>
      </c>
      <c r="K98" s="6">
        <f>INDEX(products!$A$1:$G$49,MATCH(orders!$D98,products!$A$1:$A$49,0),MATCH(K$1,products!$A$1:$G$1,0))</f>
        <v>0.2</v>
      </c>
      <c r="L98" s="7">
        <f>INDEX(products!$A$1:$G$49,MATCH(orders!$D98,products!$A$1:$A$49,0),MATCH(L$1,products!$A$1:$G$1,0))</f>
        <v>2.9849999999999999</v>
      </c>
      <c r="M98" s="7">
        <f t="shared" si="3"/>
        <v>5.97</v>
      </c>
      <c r="N98" t="str">
        <f t="shared" si="4"/>
        <v>Arabica</v>
      </c>
      <c r="O98" t="str">
        <f t="shared" si="5"/>
        <v>Dark</v>
      </c>
      <c r="P98" t="str">
        <f>_xlfn.XLOOKUP(Table1[[#This Row],[Customer ID]],customers!$A$2:$A$1001,customers!$I$2:$I$1001,,0)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INDEX(products!$A$1:$G$49,MATCH(orders!$D99,products!$A$1:$A$49,0),MATCH(I$1,products!$A$1:$G$1,0))</f>
        <v>Ara</v>
      </c>
      <c r="J99" t="str">
        <f>INDEX(products!$A$1:$G$49,MATCH(orders!$D99,products!$A$1:$A$49,0),MATCH(J$1,products!$A$1:$G$1,0))</f>
        <v>M</v>
      </c>
      <c r="K99" s="6">
        <f>INDEX(products!$A$1:$G$49,MATCH(orders!$D99,products!$A$1:$A$49,0),MATCH(K$1,products!$A$1:$G$1,0))</f>
        <v>0.5</v>
      </c>
      <c r="L99" s="7">
        <f>INDEX(products!$A$1:$G$49,MATCH(orders!$D99,products!$A$1:$A$49,0),MATCH(L$1,products!$A$1:$G$1,0))</f>
        <v>6.75</v>
      </c>
      <c r="M99" s="7">
        <f t="shared" si="3"/>
        <v>13.5</v>
      </c>
      <c r="N99" t="str">
        <f t="shared" si="4"/>
        <v>Arabica</v>
      </c>
      <c r="O99" t="str">
        <f t="shared" si="5"/>
        <v>Medium</v>
      </c>
      <c r="P99" t="str">
        <f>_xlfn.XLOOKUP(Table1[[#This Row],[Customer ID]],customers!$A$2:$A$1001,customers!$I$2:$I$1001,,0)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INDEX(products!$A$1:$G$49,MATCH(orders!$D100,products!$A$1:$A$49,0),MATCH(I$1,products!$A$1:$G$1,0))</f>
        <v>Ara</v>
      </c>
      <c r="J100" t="str">
        <f>INDEX(products!$A$1:$G$49,MATCH(orders!$D100,products!$A$1:$A$49,0),MATCH(J$1,products!$A$1:$G$1,0))</f>
        <v>D</v>
      </c>
      <c r="K100" s="6">
        <f>INDEX(products!$A$1:$G$49,MATCH(orders!$D100,products!$A$1:$A$49,0),MATCH(K$1,products!$A$1:$G$1,0))</f>
        <v>0.2</v>
      </c>
      <c r="L100" s="7">
        <f>INDEX(products!$A$1:$G$49,MATCH(orders!$D100,products!$A$1:$A$49,0),MATCH(L$1,products!$A$1:$G$1,0))</f>
        <v>2.9849999999999999</v>
      </c>
      <c r="M100" s="7">
        <f t="shared" si="3"/>
        <v>2.9849999999999999</v>
      </c>
      <c r="N100" t="str">
        <f t="shared" si="4"/>
        <v>Arabica</v>
      </c>
      <c r="O100" t="str">
        <f t="shared" si="5"/>
        <v>Dark</v>
      </c>
      <c r="P100" t="str">
        <f>_xlfn.XLOOKUP(Table1[[#This Row],[Customer ID]],customers!$A$2:$A$1001,customers!$I$2:$I$1001,,0)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INDEX(products!$A$1:$G$49,MATCH(orders!$D101,products!$A$1:$A$49,0),MATCH(I$1,products!$A$1:$G$1,0))</f>
        <v>Lib</v>
      </c>
      <c r="J101" t="str">
        <f>INDEX(products!$A$1:$G$49,MATCH(orders!$D101,products!$A$1:$A$49,0),MATCH(J$1,products!$A$1:$G$1,0))</f>
        <v>M</v>
      </c>
      <c r="K101" s="6">
        <f>INDEX(products!$A$1:$G$49,MATCH(orders!$D101,products!$A$1:$A$49,0),MATCH(K$1,products!$A$1:$G$1,0))</f>
        <v>0.2</v>
      </c>
      <c r="L101" s="7">
        <f>INDEX(products!$A$1:$G$49,MATCH(orders!$D101,products!$A$1:$A$49,0),MATCH(L$1,products!$A$1:$G$1,0))</f>
        <v>4.3650000000000002</v>
      </c>
      <c r="M101" s="7">
        <f t="shared" si="3"/>
        <v>13.095000000000001</v>
      </c>
      <c r="N101" t="str">
        <f t="shared" si="4"/>
        <v>Liberica</v>
      </c>
      <c r="O101" t="str">
        <f t="shared" si="5"/>
        <v>Medium</v>
      </c>
      <c r="P101" t="str">
        <f>_xlfn.XLOOKUP(Table1[[#This Row],[Customer ID]],customers!$A$2:$A$1001,customers!$I$2:$I$1001,,0)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INDEX(products!$A$1:$G$49,MATCH(orders!$D102,products!$A$1:$A$49,0),MATCH(I$1,products!$A$1:$G$1,0))</f>
        <v>Ara</v>
      </c>
      <c r="J102" t="str">
        <f>INDEX(products!$A$1:$G$49,MATCH(orders!$D102,products!$A$1:$A$49,0),MATCH(J$1,products!$A$1:$G$1,0))</f>
        <v>L</v>
      </c>
      <c r="K102" s="6">
        <f>INDEX(products!$A$1:$G$49,MATCH(orders!$D102,products!$A$1:$A$49,0),MATCH(K$1,products!$A$1:$G$1,0))</f>
        <v>0.2</v>
      </c>
      <c r="L102" s="7">
        <f>INDEX(products!$A$1:$G$49,MATCH(orders!$D102,products!$A$1:$A$49,0),MATCH(L$1,products!$A$1:$G$1,0))</f>
        <v>3.8849999999999998</v>
      </c>
      <c r="M102" s="7">
        <f t="shared" si="3"/>
        <v>7.77</v>
      </c>
      <c r="N102" t="str">
        <f t="shared" si="4"/>
        <v>Arabica</v>
      </c>
      <c r="O102" t="str">
        <f t="shared" si="5"/>
        <v>Light</v>
      </c>
      <c r="P102" t="str">
        <f>_xlfn.XLOOKUP(Table1[[#This Row],[Customer ID]],customers!$A$2:$A$1001,customers!$I$2:$I$1001,,0)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INDEX(products!$A$1:$G$49,MATCH(orders!$D103,products!$A$1:$A$49,0),MATCH(I$1,products!$A$1:$G$1,0))</f>
        <v>Lib</v>
      </c>
      <c r="J103" t="str">
        <f>INDEX(products!$A$1:$G$49,MATCH(orders!$D103,products!$A$1:$A$49,0),MATCH(J$1,products!$A$1:$G$1,0))</f>
        <v>D</v>
      </c>
      <c r="K103" s="6">
        <f>INDEX(products!$A$1:$G$49,MATCH(orders!$D103,products!$A$1:$A$49,0),MATCH(K$1,products!$A$1:$G$1,0))</f>
        <v>2.5</v>
      </c>
      <c r="L103" s="7">
        <f>INDEX(products!$A$1:$G$49,MATCH(orders!$D103,products!$A$1:$A$49,0),MATCH(L$1,products!$A$1:$G$1,0))</f>
        <v>29.784999999999997</v>
      </c>
      <c r="M103" s="7">
        <f t="shared" si="3"/>
        <v>148.92499999999998</v>
      </c>
      <c r="N103" t="str">
        <f t="shared" si="4"/>
        <v>Liberica</v>
      </c>
      <c r="O103" t="str">
        <f t="shared" si="5"/>
        <v>Dark</v>
      </c>
      <c r="P103" t="str">
        <f>_xlfn.XLOOKUP(Table1[[#This Row],[Customer ID]],customers!$A$2:$A$1001,customers!$I$2:$I$1001,,0)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INDEX(products!$A$1:$G$49,MATCH(orders!$D104,products!$A$1:$A$49,0),MATCH(I$1,products!$A$1:$G$1,0))</f>
        <v>Lib</v>
      </c>
      <c r="J104" t="str">
        <f>INDEX(products!$A$1:$G$49,MATCH(orders!$D104,products!$A$1:$A$49,0),MATCH(J$1,products!$A$1:$G$1,0))</f>
        <v>D</v>
      </c>
      <c r="K104" s="6">
        <f>INDEX(products!$A$1:$G$49,MATCH(orders!$D104,products!$A$1:$A$49,0),MATCH(K$1,products!$A$1:$G$1,0))</f>
        <v>1</v>
      </c>
      <c r="L104" s="7">
        <f>INDEX(products!$A$1:$G$49,MATCH(orders!$D104,products!$A$1:$A$49,0),MATCH(L$1,products!$A$1:$G$1,0))</f>
        <v>12.95</v>
      </c>
      <c r="M104" s="7">
        <f t="shared" si="3"/>
        <v>38.849999999999994</v>
      </c>
      <c r="N104" t="str">
        <f t="shared" si="4"/>
        <v>Liberica</v>
      </c>
      <c r="O104" t="str">
        <f t="shared" si="5"/>
        <v>Dark</v>
      </c>
      <c r="P104" t="str">
        <f>_xlfn.XLOOKUP(Table1[[#This Row],[Customer ID]],customers!$A$2:$A$1001,customers!$I$2:$I$1001,,0)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INDEX(products!$A$1:$G$49,MATCH(orders!$D105,products!$A$1:$A$49,0),MATCH(I$1,products!$A$1:$G$1,0))</f>
        <v>Rob</v>
      </c>
      <c r="J105" t="str">
        <f>INDEX(products!$A$1:$G$49,MATCH(orders!$D105,products!$A$1:$A$49,0),MATCH(J$1,products!$A$1:$G$1,0))</f>
        <v>M</v>
      </c>
      <c r="K105" s="6">
        <f>INDEX(products!$A$1:$G$49,MATCH(orders!$D105,products!$A$1:$A$49,0),MATCH(K$1,products!$A$1:$G$1,0))</f>
        <v>0.2</v>
      </c>
      <c r="L105" s="7">
        <f>INDEX(products!$A$1:$G$49,MATCH(orders!$D105,products!$A$1:$A$49,0),MATCH(L$1,products!$A$1:$G$1,0))</f>
        <v>2.9849999999999999</v>
      </c>
      <c r="M105" s="7">
        <f t="shared" si="3"/>
        <v>11.94</v>
      </c>
      <c r="N105" t="str">
        <f t="shared" si="4"/>
        <v>Robusta</v>
      </c>
      <c r="O105" t="str">
        <f t="shared" si="5"/>
        <v>Medium</v>
      </c>
      <c r="P105" t="str">
        <f>_xlfn.XLOOKUP(Table1[[#This Row],[Customer ID]],customers!$A$2:$A$1001,customers!$I$2:$I$1001,,0)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INDEX(products!$A$1:$G$49,MATCH(orders!$D106,products!$A$1:$A$49,0),MATCH(I$1,products!$A$1:$G$1,0))</f>
        <v>Lib</v>
      </c>
      <c r="J106" t="str">
        <f>INDEX(products!$A$1:$G$49,MATCH(orders!$D106,products!$A$1:$A$49,0),MATCH(J$1,products!$A$1:$G$1,0))</f>
        <v>M</v>
      </c>
      <c r="K106" s="6">
        <f>INDEX(products!$A$1:$G$49,MATCH(orders!$D106,products!$A$1:$A$49,0),MATCH(K$1,products!$A$1:$G$1,0))</f>
        <v>1</v>
      </c>
      <c r="L106" s="7">
        <f>INDEX(products!$A$1:$G$49,MATCH(orders!$D106,products!$A$1:$A$49,0),MATCH(L$1,products!$A$1:$G$1,0))</f>
        <v>14.55</v>
      </c>
      <c r="M106" s="7">
        <f t="shared" si="3"/>
        <v>87.300000000000011</v>
      </c>
      <c r="N106" t="str">
        <f t="shared" si="4"/>
        <v>Liberica</v>
      </c>
      <c r="O106" t="str">
        <f t="shared" si="5"/>
        <v>Medium</v>
      </c>
      <c r="P106" t="str">
        <f>_xlfn.XLOOKUP(Table1[[#This Row],[Customer ID]],customers!$A$2:$A$1001,customers!$I$2:$I$1001,,0)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INDEX(products!$A$1:$G$49,MATCH(orders!$D107,products!$A$1:$A$49,0),MATCH(I$1,products!$A$1:$G$1,0))</f>
        <v>Ara</v>
      </c>
      <c r="J107" t="str">
        <f>INDEX(products!$A$1:$G$49,MATCH(orders!$D107,products!$A$1:$A$49,0),MATCH(J$1,products!$A$1:$G$1,0))</f>
        <v>M</v>
      </c>
      <c r="K107" s="6">
        <f>INDEX(products!$A$1:$G$49,MATCH(orders!$D107,products!$A$1:$A$49,0),MATCH(K$1,products!$A$1:$G$1,0))</f>
        <v>0.5</v>
      </c>
      <c r="L107" s="7">
        <f>INDEX(products!$A$1:$G$49,MATCH(orders!$D107,products!$A$1:$A$49,0),MATCH(L$1,products!$A$1:$G$1,0))</f>
        <v>6.75</v>
      </c>
      <c r="M107" s="7">
        <f t="shared" si="3"/>
        <v>40.5</v>
      </c>
      <c r="N107" t="str">
        <f t="shared" si="4"/>
        <v>Arabica</v>
      </c>
      <c r="O107" t="str">
        <f t="shared" si="5"/>
        <v>Medium</v>
      </c>
      <c r="P107" t="str">
        <f>_xlfn.XLOOKUP(Table1[[#This Row],[Customer ID]],customers!$A$2:$A$1001,customers!$I$2:$I$1001,,0)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INDEX(products!$A$1:$G$49,MATCH(orders!$D108,products!$A$1:$A$49,0),MATCH(I$1,products!$A$1:$G$1,0))</f>
        <v>Exc</v>
      </c>
      <c r="J108" t="str">
        <f>INDEX(products!$A$1:$G$49,MATCH(orders!$D108,products!$A$1:$A$49,0),MATCH(J$1,products!$A$1:$G$1,0))</f>
        <v>D</v>
      </c>
      <c r="K108" s="6">
        <f>INDEX(products!$A$1:$G$49,MATCH(orders!$D108,products!$A$1:$A$49,0),MATCH(K$1,products!$A$1:$G$1,0))</f>
        <v>1</v>
      </c>
      <c r="L108" s="7">
        <f>INDEX(products!$A$1:$G$49,MATCH(orders!$D108,products!$A$1:$A$49,0),MATCH(L$1,products!$A$1:$G$1,0))</f>
        <v>12.15</v>
      </c>
      <c r="M108" s="7">
        <f t="shared" si="3"/>
        <v>24.3</v>
      </c>
      <c r="N108" t="str">
        <f t="shared" si="4"/>
        <v>Excelsa</v>
      </c>
      <c r="O108" t="str">
        <f t="shared" si="5"/>
        <v>Dark</v>
      </c>
      <c r="P108" t="str">
        <f>_xlfn.XLOOKUP(Table1[[#This Row],[Customer ID]],customers!$A$2:$A$1001,customers!$I$2:$I$1001,,0)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INDEX(products!$A$1:$G$49,MATCH(orders!$D109,products!$A$1:$A$49,0),MATCH(I$1,products!$A$1:$G$1,0))</f>
        <v>Rob</v>
      </c>
      <c r="J109" t="str">
        <f>INDEX(products!$A$1:$G$49,MATCH(orders!$D109,products!$A$1:$A$49,0),MATCH(J$1,products!$A$1:$G$1,0))</f>
        <v>M</v>
      </c>
      <c r="K109" s="6">
        <f>INDEX(products!$A$1:$G$49,MATCH(orders!$D109,products!$A$1:$A$49,0),MATCH(K$1,products!$A$1:$G$1,0))</f>
        <v>0.5</v>
      </c>
      <c r="L109" s="7">
        <f>INDEX(products!$A$1:$G$49,MATCH(orders!$D109,products!$A$1:$A$49,0),MATCH(L$1,products!$A$1:$G$1,0))</f>
        <v>5.97</v>
      </c>
      <c r="M109" s="7">
        <f t="shared" si="3"/>
        <v>17.91</v>
      </c>
      <c r="N109" t="str">
        <f t="shared" si="4"/>
        <v>Robusta</v>
      </c>
      <c r="O109" t="str">
        <f t="shared" si="5"/>
        <v>Medium</v>
      </c>
      <c r="P109" t="str">
        <f>_xlfn.XLOOKUP(Table1[[#This Row],[Customer ID]],customers!$A$2:$A$1001,customers!$I$2:$I$1001,,0)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INDEX(products!$A$1:$G$49,MATCH(orders!$D110,products!$A$1:$A$49,0),MATCH(I$1,products!$A$1:$G$1,0))</f>
        <v>Ara</v>
      </c>
      <c r="J110" t="str">
        <f>INDEX(products!$A$1:$G$49,MATCH(orders!$D110,products!$A$1:$A$49,0),MATCH(J$1,products!$A$1:$G$1,0))</f>
        <v>M</v>
      </c>
      <c r="K110" s="6">
        <f>INDEX(products!$A$1:$G$49,MATCH(orders!$D110,products!$A$1:$A$49,0),MATCH(K$1,products!$A$1:$G$1,0))</f>
        <v>0.5</v>
      </c>
      <c r="L110" s="7">
        <f>INDEX(products!$A$1:$G$49,MATCH(orders!$D110,products!$A$1:$A$49,0),MATCH(L$1,products!$A$1:$G$1,0))</f>
        <v>6.75</v>
      </c>
      <c r="M110" s="7">
        <f t="shared" si="3"/>
        <v>27</v>
      </c>
      <c r="N110" t="str">
        <f t="shared" si="4"/>
        <v>Arabica</v>
      </c>
      <c r="O110" t="str">
        <f t="shared" si="5"/>
        <v>Medium</v>
      </c>
      <c r="P110" t="str">
        <f>_xlfn.XLOOKUP(Table1[[#This Row],[Customer ID]],customers!$A$2:$A$1001,customers!$I$2:$I$1001,,0)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INDEX(products!$A$1:$G$49,MATCH(orders!$D111,products!$A$1:$A$49,0),MATCH(I$1,products!$A$1:$G$1,0))</f>
        <v>Lib</v>
      </c>
      <c r="J111" t="str">
        <f>INDEX(products!$A$1:$G$49,MATCH(orders!$D111,products!$A$1:$A$49,0),MATCH(J$1,products!$A$1:$G$1,0))</f>
        <v>D</v>
      </c>
      <c r="K111" s="6">
        <f>INDEX(products!$A$1:$G$49,MATCH(orders!$D111,products!$A$1:$A$49,0),MATCH(K$1,products!$A$1:$G$1,0))</f>
        <v>0.5</v>
      </c>
      <c r="L111" s="7">
        <f>INDEX(products!$A$1:$G$49,MATCH(orders!$D111,products!$A$1:$A$49,0),MATCH(L$1,products!$A$1:$G$1,0))</f>
        <v>7.77</v>
      </c>
      <c r="M111" s="7">
        <f t="shared" si="3"/>
        <v>7.77</v>
      </c>
      <c r="N111" t="str">
        <f t="shared" si="4"/>
        <v>Liberica</v>
      </c>
      <c r="O111" t="str">
        <f t="shared" si="5"/>
        <v>Dark</v>
      </c>
      <c r="P111" t="str">
        <f>_xlfn.XLOOKUP(Table1[[#This Row],[Customer ID]],customers!$A$2:$A$1001,customers!$I$2:$I$1001,,0)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INDEX(products!$A$1:$G$49,MATCH(orders!$D112,products!$A$1:$A$49,0),MATCH(I$1,products!$A$1:$G$1,0))</f>
        <v>Exc</v>
      </c>
      <c r="J112" t="str">
        <f>INDEX(products!$A$1:$G$49,MATCH(orders!$D112,products!$A$1:$A$49,0),MATCH(J$1,products!$A$1:$G$1,0))</f>
        <v>L</v>
      </c>
      <c r="K112" s="6">
        <f>INDEX(products!$A$1:$G$49,MATCH(orders!$D112,products!$A$1:$A$49,0),MATCH(K$1,products!$A$1:$G$1,0))</f>
        <v>0.2</v>
      </c>
      <c r="L112" s="7">
        <f>INDEX(products!$A$1:$G$49,MATCH(orders!$D112,products!$A$1:$A$49,0),MATCH(L$1,products!$A$1:$G$1,0))</f>
        <v>4.4550000000000001</v>
      </c>
      <c r="M112" s="7">
        <f t="shared" si="3"/>
        <v>13.365</v>
      </c>
      <c r="N112" t="str">
        <f t="shared" si="4"/>
        <v>Excelsa</v>
      </c>
      <c r="O112" t="str">
        <f t="shared" si="5"/>
        <v>Light</v>
      </c>
      <c r="P112" t="str">
        <f>_xlfn.XLOOKUP(Table1[[#This Row],[Customer ID]],customers!$A$2:$A$1001,customers!$I$2:$I$1001,,0)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INDEX(products!$A$1:$G$49,MATCH(orders!$D113,products!$A$1:$A$49,0),MATCH(I$1,products!$A$1:$G$1,0))</f>
        <v>Rob</v>
      </c>
      <c r="J113" t="str">
        <f>INDEX(products!$A$1:$G$49,MATCH(orders!$D113,products!$A$1:$A$49,0),MATCH(J$1,products!$A$1:$G$1,0))</f>
        <v>D</v>
      </c>
      <c r="K113" s="6">
        <f>INDEX(products!$A$1:$G$49,MATCH(orders!$D113,products!$A$1:$A$49,0),MATCH(K$1,products!$A$1:$G$1,0))</f>
        <v>0.5</v>
      </c>
      <c r="L113" s="7">
        <f>INDEX(products!$A$1:$G$49,MATCH(orders!$D113,products!$A$1:$A$49,0),MATCH(L$1,products!$A$1:$G$1,0))</f>
        <v>5.3699999999999992</v>
      </c>
      <c r="M113" s="7">
        <f t="shared" si="3"/>
        <v>26.849999999999994</v>
      </c>
      <c r="N113" t="str">
        <f t="shared" si="4"/>
        <v>Robusta</v>
      </c>
      <c r="O113" t="str">
        <f t="shared" si="5"/>
        <v>Dark</v>
      </c>
      <c r="P113" t="str">
        <f>_xlfn.XLOOKUP(Table1[[#This Row],[Customer ID]],customers!$A$2:$A$1001,customers!$I$2:$I$1001,,0)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INDEX(products!$A$1:$G$49,MATCH(orders!$D114,products!$A$1:$A$49,0),MATCH(I$1,products!$A$1:$G$1,0))</f>
        <v>Ara</v>
      </c>
      <c r="J114" t="str">
        <f>INDEX(products!$A$1:$G$49,MATCH(orders!$D114,products!$A$1:$A$49,0),MATCH(J$1,products!$A$1:$G$1,0))</f>
        <v>M</v>
      </c>
      <c r="K114" s="6">
        <f>INDEX(products!$A$1:$G$49,MATCH(orders!$D114,products!$A$1:$A$49,0),MATCH(K$1,products!$A$1:$G$1,0))</f>
        <v>1</v>
      </c>
      <c r="L114" s="7">
        <f>INDEX(products!$A$1:$G$49,MATCH(orders!$D114,products!$A$1:$A$49,0),MATCH(L$1,products!$A$1:$G$1,0))</f>
        <v>11.25</v>
      </c>
      <c r="M114" s="7">
        <f t="shared" si="3"/>
        <v>11.25</v>
      </c>
      <c r="N114" t="str">
        <f t="shared" si="4"/>
        <v>Arabica</v>
      </c>
      <c r="O114" t="str">
        <f t="shared" si="5"/>
        <v>Medium</v>
      </c>
      <c r="P114" t="str">
        <f>_xlfn.XLOOKUP(Table1[[#This Row],[Customer ID]],customers!$A$2:$A$1001,customers!$I$2:$I$1001,,0)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INDEX(products!$A$1:$G$49,MATCH(orders!$D115,products!$A$1:$A$49,0),MATCH(I$1,products!$A$1:$G$1,0))</f>
        <v>Lib</v>
      </c>
      <c r="J115" t="str">
        <f>INDEX(products!$A$1:$G$49,MATCH(orders!$D115,products!$A$1:$A$49,0),MATCH(J$1,products!$A$1:$G$1,0))</f>
        <v>M</v>
      </c>
      <c r="K115" s="6">
        <f>INDEX(products!$A$1:$G$49,MATCH(orders!$D115,products!$A$1:$A$49,0),MATCH(K$1,products!$A$1:$G$1,0))</f>
        <v>1</v>
      </c>
      <c r="L115" s="7">
        <f>INDEX(products!$A$1:$G$49,MATCH(orders!$D115,products!$A$1:$A$49,0),MATCH(L$1,products!$A$1:$G$1,0))</f>
        <v>14.55</v>
      </c>
      <c r="M115" s="7">
        <f t="shared" si="3"/>
        <v>14.55</v>
      </c>
      <c r="N115" t="str">
        <f t="shared" si="4"/>
        <v>Liberica</v>
      </c>
      <c r="O115" t="str">
        <f t="shared" si="5"/>
        <v>Medium</v>
      </c>
      <c r="P115" t="str">
        <f>_xlfn.XLOOKUP(Table1[[#This Row],[Customer ID]],customers!$A$2:$A$1001,customers!$I$2:$I$1001,,0)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INDEX(products!$A$1:$G$49,MATCH(orders!$D116,products!$A$1:$A$49,0),MATCH(I$1,products!$A$1:$G$1,0))</f>
        <v>Rob</v>
      </c>
      <c r="J116" t="str">
        <f>INDEX(products!$A$1:$G$49,MATCH(orders!$D116,products!$A$1:$A$49,0),MATCH(J$1,products!$A$1:$G$1,0))</f>
        <v>L</v>
      </c>
      <c r="K116" s="6">
        <f>INDEX(products!$A$1:$G$49,MATCH(orders!$D116,products!$A$1:$A$49,0),MATCH(K$1,products!$A$1:$G$1,0))</f>
        <v>0.2</v>
      </c>
      <c r="L116" s="7">
        <f>INDEX(products!$A$1:$G$49,MATCH(orders!$D116,products!$A$1:$A$49,0),MATCH(L$1,products!$A$1:$G$1,0))</f>
        <v>3.5849999999999995</v>
      </c>
      <c r="M116" s="7">
        <f t="shared" si="3"/>
        <v>14.339999999999998</v>
      </c>
      <c r="N116" t="str">
        <f t="shared" si="4"/>
        <v>Robusta</v>
      </c>
      <c r="O116" t="str">
        <f t="shared" si="5"/>
        <v>Light</v>
      </c>
      <c r="P116" t="str">
        <f>_xlfn.XLOOKUP(Table1[[#This Row],[Customer ID]],customers!$A$2:$A$1001,customers!$I$2:$I$1001,,0)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INDEX(products!$A$1:$G$49,MATCH(orders!$D117,products!$A$1:$A$49,0),MATCH(I$1,products!$A$1:$G$1,0))</f>
        <v>Lib</v>
      </c>
      <c r="J117" t="str">
        <f>INDEX(products!$A$1:$G$49,MATCH(orders!$D117,products!$A$1:$A$49,0),MATCH(J$1,products!$A$1:$G$1,0))</f>
        <v>L</v>
      </c>
      <c r="K117" s="6">
        <f>INDEX(products!$A$1:$G$49,MATCH(orders!$D117,products!$A$1:$A$49,0),MATCH(K$1,products!$A$1:$G$1,0))</f>
        <v>1</v>
      </c>
      <c r="L117" s="7">
        <f>INDEX(products!$A$1:$G$49,MATCH(orders!$D117,products!$A$1:$A$49,0),MATCH(L$1,products!$A$1:$G$1,0))</f>
        <v>15.85</v>
      </c>
      <c r="M117" s="7">
        <f t="shared" si="3"/>
        <v>15.85</v>
      </c>
      <c r="N117" t="str">
        <f t="shared" si="4"/>
        <v>Liberica</v>
      </c>
      <c r="O117" t="str">
        <f t="shared" si="5"/>
        <v>Light</v>
      </c>
      <c r="P117" t="str">
        <f>_xlfn.XLOOKUP(Table1[[#This Row],[Customer ID]],customers!$A$2:$A$1001,customers!$I$2:$I$1001,,0)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INDEX(products!$A$1:$G$49,MATCH(orders!$D118,products!$A$1:$A$49,0),MATCH(I$1,products!$A$1:$G$1,0))</f>
        <v>Lib</v>
      </c>
      <c r="J118" t="str">
        <f>INDEX(products!$A$1:$G$49,MATCH(orders!$D118,products!$A$1:$A$49,0),MATCH(J$1,products!$A$1:$G$1,0))</f>
        <v>L</v>
      </c>
      <c r="K118" s="6">
        <f>INDEX(products!$A$1:$G$49,MATCH(orders!$D118,products!$A$1:$A$49,0),MATCH(K$1,products!$A$1:$G$1,0))</f>
        <v>0.2</v>
      </c>
      <c r="L118" s="7">
        <f>INDEX(products!$A$1:$G$49,MATCH(orders!$D118,products!$A$1:$A$49,0),MATCH(L$1,products!$A$1:$G$1,0))</f>
        <v>4.7549999999999999</v>
      </c>
      <c r="M118" s="7">
        <f t="shared" si="3"/>
        <v>19.02</v>
      </c>
      <c r="N118" t="str">
        <f t="shared" si="4"/>
        <v>Liberica</v>
      </c>
      <c r="O118" t="str">
        <f t="shared" si="5"/>
        <v>Light</v>
      </c>
      <c r="P118" t="str">
        <f>_xlfn.XLOOKUP(Table1[[#This Row],[Customer ID]],customers!$A$2:$A$1001,customers!$I$2:$I$1001,,0)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INDEX(products!$A$1:$G$49,MATCH(orders!$D119,products!$A$1:$A$49,0),MATCH(I$1,products!$A$1:$G$1,0))</f>
        <v>Lib</v>
      </c>
      <c r="J119" t="str">
        <f>INDEX(products!$A$1:$G$49,MATCH(orders!$D119,products!$A$1:$A$49,0),MATCH(J$1,products!$A$1:$G$1,0))</f>
        <v>L</v>
      </c>
      <c r="K119" s="6">
        <f>INDEX(products!$A$1:$G$49,MATCH(orders!$D119,products!$A$1:$A$49,0),MATCH(K$1,products!$A$1:$G$1,0))</f>
        <v>0.5</v>
      </c>
      <c r="L119" s="7">
        <f>INDEX(products!$A$1:$G$49,MATCH(orders!$D119,products!$A$1:$A$49,0),MATCH(L$1,products!$A$1:$G$1,0))</f>
        <v>9.51</v>
      </c>
      <c r="M119" s="7">
        <f t="shared" si="3"/>
        <v>38.04</v>
      </c>
      <c r="N119" t="str">
        <f t="shared" si="4"/>
        <v>Liberica</v>
      </c>
      <c r="O119" t="str">
        <f t="shared" si="5"/>
        <v>Light</v>
      </c>
      <c r="P119" t="str">
        <f>_xlfn.XLOOKUP(Table1[[#This Row],[Customer ID]],customers!$A$2:$A$1001,customers!$I$2:$I$1001,,0)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INDEX(products!$A$1:$G$49,MATCH(orders!$D120,products!$A$1:$A$49,0),MATCH(I$1,products!$A$1:$G$1,0))</f>
        <v>Exc</v>
      </c>
      <c r="J120" t="str">
        <f>INDEX(products!$A$1:$G$49,MATCH(orders!$D120,products!$A$1:$A$49,0),MATCH(J$1,products!$A$1:$G$1,0))</f>
        <v>D</v>
      </c>
      <c r="K120" s="6">
        <f>INDEX(products!$A$1:$G$49,MATCH(orders!$D120,products!$A$1:$A$49,0),MATCH(K$1,products!$A$1:$G$1,0))</f>
        <v>0.5</v>
      </c>
      <c r="L120" s="7">
        <f>INDEX(products!$A$1:$G$49,MATCH(orders!$D120,products!$A$1:$A$49,0),MATCH(L$1,products!$A$1:$G$1,0))</f>
        <v>7.29</v>
      </c>
      <c r="M120" s="7">
        <f t="shared" si="3"/>
        <v>21.87</v>
      </c>
      <c r="N120" t="str">
        <f t="shared" si="4"/>
        <v>Excelsa</v>
      </c>
      <c r="O120" t="str">
        <f t="shared" si="5"/>
        <v>Dark</v>
      </c>
      <c r="P120" t="str">
        <f>_xlfn.XLOOKUP(Table1[[#This Row],[Customer ID]],customers!$A$2:$A$1001,customers!$I$2:$I$1001,,0)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INDEX(products!$A$1:$G$49,MATCH(orders!$D121,products!$A$1:$A$49,0),MATCH(I$1,products!$A$1:$G$1,0))</f>
        <v>Exc</v>
      </c>
      <c r="J121" t="str">
        <f>INDEX(products!$A$1:$G$49,MATCH(orders!$D121,products!$A$1:$A$49,0),MATCH(J$1,products!$A$1:$G$1,0))</f>
        <v>M</v>
      </c>
      <c r="K121" s="6">
        <f>INDEX(products!$A$1:$G$49,MATCH(orders!$D121,products!$A$1:$A$49,0),MATCH(K$1,products!$A$1:$G$1,0))</f>
        <v>0.2</v>
      </c>
      <c r="L121" s="7">
        <f>INDEX(products!$A$1:$G$49,MATCH(orders!$D121,products!$A$1:$A$49,0),MATCH(L$1,products!$A$1:$G$1,0))</f>
        <v>4.125</v>
      </c>
      <c r="M121" s="7">
        <f t="shared" si="3"/>
        <v>4.125</v>
      </c>
      <c r="N121" t="str">
        <f t="shared" si="4"/>
        <v>Excelsa</v>
      </c>
      <c r="O121" t="str">
        <f t="shared" si="5"/>
        <v>Medium</v>
      </c>
      <c r="P121" t="str">
        <f>_xlfn.XLOOKUP(Table1[[#This Row],[Customer ID]],customers!$A$2:$A$1001,customers!$I$2:$I$1001,,0)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INDEX(products!$A$1:$G$49,MATCH(orders!$D122,products!$A$1:$A$49,0),MATCH(I$1,products!$A$1:$G$1,0))</f>
        <v>Ara</v>
      </c>
      <c r="J122" t="str">
        <f>INDEX(products!$A$1:$G$49,MATCH(orders!$D122,products!$A$1:$A$49,0),MATCH(J$1,products!$A$1:$G$1,0))</f>
        <v>L</v>
      </c>
      <c r="K122" s="6">
        <f>INDEX(products!$A$1:$G$49,MATCH(orders!$D122,products!$A$1:$A$49,0),MATCH(K$1,products!$A$1:$G$1,0))</f>
        <v>0.2</v>
      </c>
      <c r="L122" s="7">
        <f>INDEX(products!$A$1:$G$49,MATCH(orders!$D122,products!$A$1:$A$49,0),MATCH(L$1,products!$A$1:$G$1,0))</f>
        <v>3.8849999999999998</v>
      </c>
      <c r="M122" s="7">
        <f t="shared" si="3"/>
        <v>3.8849999999999998</v>
      </c>
      <c r="N122" t="str">
        <f t="shared" si="4"/>
        <v>Arabica</v>
      </c>
      <c r="O122" t="str">
        <f t="shared" si="5"/>
        <v>Light</v>
      </c>
      <c r="P122" t="str">
        <f>_xlfn.XLOOKUP(Table1[[#This Row],[Customer ID]],customers!$A$2:$A$1001,customers!$I$2:$I$1001,,0)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INDEX(products!$A$1:$G$49,MATCH(orders!$D123,products!$A$1:$A$49,0),MATCH(I$1,products!$A$1:$G$1,0))</f>
        <v>Exc</v>
      </c>
      <c r="J123" t="str">
        <f>INDEX(products!$A$1:$G$49,MATCH(orders!$D123,products!$A$1:$A$49,0),MATCH(J$1,products!$A$1:$G$1,0))</f>
        <v>M</v>
      </c>
      <c r="K123" s="6">
        <f>INDEX(products!$A$1:$G$49,MATCH(orders!$D123,products!$A$1:$A$49,0),MATCH(K$1,products!$A$1:$G$1,0))</f>
        <v>1</v>
      </c>
      <c r="L123" s="7">
        <f>INDEX(products!$A$1:$G$49,MATCH(orders!$D123,products!$A$1:$A$49,0),MATCH(L$1,products!$A$1:$G$1,0))</f>
        <v>13.75</v>
      </c>
      <c r="M123" s="7">
        <f t="shared" si="3"/>
        <v>68.75</v>
      </c>
      <c r="N123" t="str">
        <f t="shared" si="4"/>
        <v>Excelsa</v>
      </c>
      <c r="O123" t="str">
        <f t="shared" si="5"/>
        <v>Medium</v>
      </c>
      <c r="P123" t="str">
        <f>_xlfn.XLOOKUP(Table1[[#This Row],[Customer ID]],customers!$A$2:$A$1001,customers!$I$2:$I$1001,,0)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INDEX(products!$A$1:$G$49,MATCH(orders!$D124,products!$A$1:$A$49,0),MATCH(I$1,products!$A$1:$G$1,0))</f>
        <v>Ara</v>
      </c>
      <c r="J124" t="str">
        <f>INDEX(products!$A$1:$G$49,MATCH(orders!$D124,products!$A$1:$A$49,0),MATCH(J$1,products!$A$1:$G$1,0))</f>
        <v>D</v>
      </c>
      <c r="K124" s="6">
        <f>INDEX(products!$A$1:$G$49,MATCH(orders!$D124,products!$A$1:$A$49,0),MATCH(K$1,products!$A$1:$G$1,0))</f>
        <v>0.5</v>
      </c>
      <c r="L124" s="7">
        <f>INDEX(products!$A$1:$G$49,MATCH(orders!$D124,products!$A$1:$A$49,0),MATCH(L$1,products!$A$1:$G$1,0))</f>
        <v>5.97</v>
      </c>
      <c r="M124" s="7">
        <f t="shared" si="3"/>
        <v>23.88</v>
      </c>
      <c r="N124" t="str">
        <f t="shared" si="4"/>
        <v>Arabica</v>
      </c>
      <c r="O124" t="str">
        <f t="shared" si="5"/>
        <v>Dark</v>
      </c>
      <c r="P124" t="str">
        <f>_xlfn.XLOOKUP(Table1[[#This Row],[Customer ID]],customers!$A$2:$A$1001,customers!$I$2:$I$1001,,0)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INDEX(products!$A$1:$G$49,MATCH(orders!$D125,products!$A$1:$A$49,0),MATCH(I$1,products!$A$1:$G$1,0))</f>
        <v>Lib</v>
      </c>
      <c r="J125" t="str">
        <f>INDEX(products!$A$1:$G$49,MATCH(orders!$D125,products!$A$1:$A$49,0),MATCH(J$1,products!$A$1:$G$1,0))</f>
        <v>L</v>
      </c>
      <c r="K125" s="6">
        <f>INDEX(products!$A$1:$G$49,MATCH(orders!$D125,products!$A$1:$A$49,0),MATCH(K$1,products!$A$1:$G$1,0))</f>
        <v>2.5</v>
      </c>
      <c r="L125" s="7">
        <f>INDEX(products!$A$1:$G$49,MATCH(orders!$D125,products!$A$1:$A$49,0),MATCH(L$1,products!$A$1:$G$1,0))</f>
        <v>36.454999999999998</v>
      </c>
      <c r="M125" s="7">
        <f t="shared" si="3"/>
        <v>145.82</v>
      </c>
      <c r="N125" t="str">
        <f t="shared" si="4"/>
        <v>Liberica</v>
      </c>
      <c r="O125" t="str">
        <f t="shared" si="5"/>
        <v>Light</v>
      </c>
      <c r="P125" t="str">
        <f>_xlfn.XLOOKUP(Table1[[#This Row],[Customer ID]],customers!$A$2:$A$1001,customers!$I$2:$I$1001,,0)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INDEX(products!$A$1:$G$49,MATCH(orders!$D126,products!$A$1:$A$49,0),MATCH(I$1,products!$A$1:$G$1,0))</f>
        <v>Lib</v>
      </c>
      <c r="J126" t="str">
        <f>INDEX(products!$A$1:$G$49,MATCH(orders!$D126,products!$A$1:$A$49,0),MATCH(J$1,products!$A$1:$G$1,0))</f>
        <v>M</v>
      </c>
      <c r="K126" s="6">
        <f>INDEX(products!$A$1:$G$49,MATCH(orders!$D126,products!$A$1:$A$49,0),MATCH(K$1,products!$A$1:$G$1,0))</f>
        <v>0.2</v>
      </c>
      <c r="L126" s="7">
        <f>INDEX(products!$A$1:$G$49,MATCH(orders!$D126,products!$A$1:$A$49,0),MATCH(L$1,products!$A$1:$G$1,0))</f>
        <v>4.3650000000000002</v>
      </c>
      <c r="M126" s="7">
        <f t="shared" si="3"/>
        <v>21.825000000000003</v>
      </c>
      <c r="N126" t="str">
        <f t="shared" si="4"/>
        <v>Liberica</v>
      </c>
      <c r="O126" t="str">
        <f t="shared" si="5"/>
        <v>Medium</v>
      </c>
      <c r="P126" t="str">
        <f>_xlfn.XLOOKUP(Table1[[#This Row],[Customer ID]],customers!$A$2:$A$1001,customers!$I$2:$I$1001,,0)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INDEX(products!$A$1:$G$49,MATCH(orders!$D127,products!$A$1:$A$49,0),MATCH(I$1,products!$A$1:$G$1,0))</f>
        <v>Lib</v>
      </c>
      <c r="J127" t="str">
        <f>INDEX(products!$A$1:$G$49,MATCH(orders!$D127,products!$A$1:$A$49,0),MATCH(J$1,products!$A$1:$G$1,0))</f>
        <v>M</v>
      </c>
      <c r="K127" s="6">
        <f>INDEX(products!$A$1:$G$49,MATCH(orders!$D127,products!$A$1:$A$49,0),MATCH(K$1,products!$A$1:$G$1,0))</f>
        <v>0.5</v>
      </c>
      <c r="L127" s="7">
        <f>INDEX(products!$A$1:$G$49,MATCH(orders!$D127,products!$A$1:$A$49,0),MATCH(L$1,products!$A$1:$G$1,0))</f>
        <v>8.73</v>
      </c>
      <c r="M127" s="7">
        <f t="shared" si="3"/>
        <v>26.19</v>
      </c>
      <c r="N127" t="str">
        <f t="shared" si="4"/>
        <v>Liberica</v>
      </c>
      <c r="O127" t="str">
        <f t="shared" si="5"/>
        <v>Medium</v>
      </c>
      <c r="P127" t="str">
        <f>_xlfn.XLOOKUP(Table1[[#This Row],[Customer ID]],customers!$A$2:$A$1001,customers!$I$2:$I$1001,,0)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INDEX(products!$A$1:$G$49,MATCH(orders!$D128,products!$A$1:$A$49,0),MATCH(I$1,products!$A$1:$G$1,0))</f>
        <v>Ara</v>
      </c>
      <c r="J128" t="str">
        <f>INDEX(products!$A$1:$G$49,MATCH(orders!$D128,products!$A$1:$A$49,0),MATCH(J$1,products!$A$1:$G$1,0))</f>
        <v>M</v>
      </c>
      <c r="K128" s="6">
        <f>INDEX(products!$A$1:$G$49,MATCH(orders!$D128,products!$A$1:$A$49,0),MATCH(K$1,products!$A$1:$G$1,0))</f>
        <v>1</v>
      </c>
      <c r="L128" s="7">
        <f>INDEX(products!$A$1:$G$49,MATCH(orders!$D128,products!$A$1:$A$49,0),MATCH(L$1,products!$A$1:$G$1,0))</f>
        <v>11.25</v>
      </c>
      <c r="M128" s="7">
        <f t="shared" si="3"/>
        <v>11.25</v>
      </c>
      <c r="N128" t="str">
        <f t="shared" si="4"/>
        <v>Arabica</v>
      </c>
      <c r="O128" t="str">
        <f t="shared" si="5"/>
        <v>Medium</v>
      </c>
      <c r="P128" t="str">
        <f>_xlfn.XLOOKUP(Table1[[#This Row],[Customer ID]],customers!$A$2:$A$1001,customers!$I$2:$I$1001,,0)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INDEX(products!$A$1:$G$49,MATCH(orders!$D129,products!$A$1:$A$49,0),MATCH(I$1,products!$A$1:$G$1,0))</f>
        <v>Lib</v>
      </c>
      <c r="J129" t="str">
        <f>INDEX(products!$A$1:$G$49,MATCH(orders!$D129,products!$A$1:$A$49,0),MATCH(J$1,products!$A$1:$G$1,0))</f>
        <v>D</v>
      </c>
      <c r="K129" s="6">
        <f>INDEX(products!$A$1:$G$49,MATCH(orders!$D129,products!$A$1:$A$49,0),MATCH(K$1,products!$A$1:$G$1,0))</f>
        <v>1</v>
      </c>
      <c r="L129" s="7">
        <f>INDEX(products!$A$1:$G$49,MATCH(orders!$D129,products!$A$1:$A$49,0),MATCH(L$1,products!$A$1:$G$1,0))</f>
        <v>12.95</v>
      </c>
      <c r="M129" s="7">
        <f t="shared" si="3"/>
        <v>77.699999999999989</v>
      </c>
      <c r="N129" t="str">
        <f t="shared" si="4"/>
        <v>Liberica</v>
      </c>
      <c r="O129" t="str">
        <f t="shared" si="5"/>
        <v>Dark</v>
      </c>
      <c r="P129" t="str">
        <f>_xlfn.XLOOKUP(Table1[[#This Row],[Customer ID]],customers!$A$2:$A$1001,customers!$I$2:$I$1001,,0)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INDEX(products!$A$1:$G$49,MATCH(orders!$D130,products!$A$1:$A$49,0),MATCH(I$1,products!$A$1:$G$1,0))</f>
        <v>Ara</v>
      </c>
      <c r="J130" t="str">
        <f>INDEX(products!$A$1:$G$49,MATCH(orders!$D130,products!$A$1:$A$49,0),MATCH(J$1,products!$A$1:$G$1,0))</f>
        <v>M</v>
      </c>
      <c r="K130" s="6">
        <f>INDEX(products!$A$1:$G$49,MATCH(orders!$D130,products!$A$1:$A$49,0),MATCH(K$1,products!$A$1:$G$1,0))</f>
        <v>0.5</v>
      </c>
      <c r="L130" s="7">
        <f>INDEX(products!$A$1:$G$49,MATCH(orders!$D130,products!$A$1:$A$49,0),MATCH(L$1,products!$A$1:$G$1,0))</f>
        <v>6.75</v>
      </c>
      <c r="M130" s="7">
        <f t="shared" si="3"/>
        <v>6.75</v>
      </c>
      <c r="N130" t="str">
        <f t="shared" si="4"/>
        <v>Arabica</v>
      </c>
      <c r="O130" t="str">
        <f t="shared" si="5"/>
        <v>Medium</v>
      </c>
      <c r="P130" t="str">
        <f>_xlfn.XLOOKUP(Table1[[#This Row],[Customer ID]],customers!$A$2:$A$1001,customers!$I$2:$I$1001,,0)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INDEX(products!$A$1:$G$49,MATCH(orders!$D131,products!$A$1:$A$49,0),MATCH(I$1,products!$A$1:$G$1,0))</f>
        <v>Exc</v>
      </c>
      <c r="J131" t="str">
        <f>INDEX(products!$A$1:$G$49,MATCH(orders!$D131,products!$A$1:$A$49,0),MATCH(J$1,products!$A$1:$G$1,0))</f>
        <v>D</v>
      </c>
      <c r="K131" s="6">
        <f>INDEX(products!$A$1:$G$49,MATCH(orders!$D131,products!$A$1:$A$49,0),MATCH(K$1,products!$A$1:$G$1,0))</f>
        <v>1</v>
      </c>
      <c r="L131" s="7">
        <f>INDEX(products!$A$1:$G$49,MATCH(orders!$D131,products!$A$1:$A$49,0),MATCH(L$1,products!$A$1:$G$1,0))</f>
        <v>12.15</v>
      </c>
      <c r="M131" s="7">
        <f t="shared" ref="M131:M194" si="6">L131*E131</f>
        <v>12.15</v>
      </c>
      <c r="N131" t="str">
        <f t="shared" ref="N131:N194" si="7">IF(I131="Rob","Robusta",IF(I131="Exc","Excelsa",IF(I131="Ara","Arabica",IF(I131="Lib","Liberica",""))))</f>
        <v>Excelsa</v>
      </c>
      <c r="O131" t="str">
        <f t="shared" ref="O131:O194" si="8">IF(J131="M","Medium",IF(J131="L","Light",IF(J131="D","Dark","")))</f>
        <v>Dark</v>
      </c>
      <c r="P131" t="str">
        <f>_xlfn.XLOOKUP(Table1[[#This Row],[Customer ID]],customers!$A$2:$A$1001,customers!$I$2:$I$1001,,0)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INDEX(products!$A$1:$G$49,MATCH(orders!$D132,products!$A$1:$A$49,0),MATCH(I$1,products!$A$1:$G$1,0))</f>
        <v>Ara</v>
      </c>
      <c r="J132" t="str">
        <f>INDEX(products!$A$1:$G$49,MATCH(orders!$D132,products!$A$1:$A$49,0),MATCH(J$1,products!$A$1:$G$1,0))</f>
        <v>L</v>
      </c>
      <c r="K132" s="6">
        <f>INDEX(products!$A$1:$G$49,MATCH(orders!$D132,products!$A$1:$A$49,0),MATCH(K$1,products!$A$1:$G$1,0))</f>
        <v>2.5</v>
      </c>
      <c r="L132" s="7">
        <f>INDEX(products!$A$1:$G$49,MATCH(orders!$D132,products!$A$1:$A$49,0),MATCH(L$1,products!$A$1:$G$1,0))</f>
        <v>29.784999999999997</v>
      </c>
      <c r="M132" s="7">
        <f t="shared" si="6"/>
        <v>148.92499999999998</v>
      </c>
      <c r="N132" t="str">
        <f t="shared" si="7"/>
        <v>Arabica</v>
      </c>
      <c r="O132" t="str">
        <f t="shared" si="8"/>
        <v>Light</v>
      </c>
      <c r="P132" t="str">
        <f>_xlfn.XLOOKUP(Table1[[#This Row],[Customer ID]],customers!$A$2:$A$1001,customers!$I$2:$I$1001,,0)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INDEX(products!$A$1:$G$49,MATCH(orders!$D133,products!$A$1:$A$49,0),MATCH(I$1,products!$A$1:$G$1,0))</f>
        <v>Exc</v>
      </c>
      <c r="J133" t="str">
        <f>INDEX(products!$A$1:$G$49,MATCH(orders!$D133,products!$A$1:$A$49,0),MATCH(J$1,products!$A$1:$G$1,0))</f>
        <v>D</v>
      </c>
      <c r="K133" s="6">
        <f>INDEX(products!$A$1:$G$49,MATCH(orders!$D133,products!$A$1:$A$49,0),MATCH(K$1,products!$A$1:$G$1,0))</f>
        <v>0.5</v>
      </c>
      <c r="L133" s="7">
        <f>INDEX(products!$A$1:$G$49,MATCH(orders!$D133,products!$A$1:$A$49,0),MATCH(L$1,products!$A$1:$G$1,0))</f>
        <v>7.29</v>
      </c>
      <c r="M133" s="7">
        <f t="shared" si="6"/>
        <v>14.58</v>
      </c>
      <c r="N133" t="str">
        <f t="shared" si="7"/>
        <v>Excelsa</v>
      </c>
      <c r="O133" t="str">
        <f t="shared" si="8"/>
        <v>Dark</v>
      </c>
      <c r="P133" t="str">
        <f>_xlfn.XLOOKUP(Table1[[#This Row],[Customer ID]],customers!$A$2:$A$1001,customers!$I$2:$I$1001,,0)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INDEX(products!$A$1:$G$49,MATCH(orders!$D134,products!$A$1:$A$49,0),MATCH(I$1,products!$A$1:$G$1,0))</f>
        <v>Ara</v>
      </c>
      <c r="J134" t="str">
        <f>INDEX(products!$A$1:$G$49,MATCH(orders!$D134,products!$A$1:$A$49,0),MATCH(J$1,products!$A$1:$G$1,0))</f>
        <v>L</v>
      </c>
      <c r="K134" s="6">
        <f>INDEX(products!$A$1:$G$49,MATCH(orders!$D134,products!$A$1:$A$49,0),MATCH(K$1,products!$A$1:$G$1,0))</f>
        <v>2.5</v>
      </c>
      <c r="L134" s="7">
        <f>INDEX(products!$A$1:$G$49,MATCH(orders!$D134,products!$A$1:$A$49,0),MATCH(L$1,products!$A$1:$G$1,0))</f>
        <v>29.784999999999997</v>
      </c>
      <c r="M134" s="7">
        <f t="shared" si="6"/>
        <v>148.92499999999998</v>
      </c>
      <c r="N134" t="str">
        <f t="shared" si="7"/>
        <v>Arabica</v>
      </c>
      <c r="O134" t="str">
        <f t="shared" si="8"/>
        <v>Light</v>
      </c>
      <c r="P134" t="str">
        <f>_xlfn.XLOOKUP(Table1[[#This Row],[Customer ID]],customers!$A$2:$A$1001,customers!$I$2:$I$1001,,0)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INDEX(products!$A$1:$G$49,MATCH(orders!$D135,products!$A$1:$A$49,0),MATCH(I$1,products!$A$1:$G$1,0))</f>
        <v>Lib</v>
      </c>
      <c r="J135" t="str">
        <f>INDEX(products!$A$1:$G$49,MATCH(orders!$D135,products!$A$1:$A$49,0),MATCH(J$1,products!$A$1:$G$1,0))</f>
        <v>D</v>
      </c>
      <c r="K135" s="6">
        <f>INDEX(products!$A$1:$G$49,MATCH(orders!$D135,products!$A$1:$A$49,0),MATCH(K$1,products!$A$1:$G$1,0))</f>
        <v>1</v>
      </c>
      <c r="L135" s="7">
        <f>INDEX(products!$A$1:$G$49,MATCH(orders!$D135,products!$A$1:$A$49,0),MATCH(L$1,products!$A$1:$G$1,0))</f>
        <v>12.95</v>
      </c>
      <c r="M135" s="7">
        <f t="shared" si="6"/>
        <v>12.95</v>
      </c>
      <c r="N135" t="str">
        <f t="shared" si="7"/>
        <v>Liberica</v>
      </c>
      <c r="O135" t="str">
        <f t="shared" si="8"/>
        <v>Dark</v>
      </c>
      <c r="P135" t="str">
        <f>_xlfn.XLOOKUP(Table1[[#This Row],[Customer ID]],customers!$A$2:$A$1001,customers!$I$2:$I$1001,,0)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INDEX(products!$A$1:$G$49,MATCH(orders!$D136,products!$A$1:$A$49,0),MATCH(I$1,products!$A$1:$G$1,0))</f>
        <v>Exc</v>
      </c>
      <c r="J136" t="str">
        <f>INDEX(products!$A$1:$G$49,MATCH(orders!$D136,products!$A$1:$A$49,0),MATCH(J$1,products!$A$1:$G$1,0))</f>
        <v>M</v>
      </c>
      <c r="K136" s="6">
        <f>INDEX(products!$A$1:$G$49,MATCH(orders!$D136,products!$A$1:$A$49,0),MATCH(K$1,products!$A$1:$G$1,0))</f>
        <v>2.5</v>
      </c>
      <c r="L136" s="7">
        <f>INDEX(products!$A$1:$G$49,MATCH(orders!$D136,products!$A$1:$A$49,0),MATCH(L$1,products!$A$1:$G$1,0))</f>
        <v>31.624999999999996</v>
      </c>
      <c r="M136" s="7">
        <f t="shared" si="6"/>
        <v>94.874999999999986</v>
      </c>
      <c r="N136" t="str">
        <f t="shared" si="7"/>
        <v>Excelsa</v>
      </c>
      <c r="O136" t="str">
        <f t="shared" si="8"/>
        <v>Medium</v>
      </c>
      <c r="P136" t="str">
        <f>_xlfn.XLOOKUP(Table1[[#This Row],[Customer ID]],customers!$A$2:$A$1001,customers!$I$2:$I$1001,,0)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INDEX(products!$A$1:$G$49,MATCH(orders!$D137,products!$A$1:$A$49,0),MATCH(I$1,products!$A$1:$G$1,0))</f>
        <v>Ara</v>
      </c>
      <c r="J137" t="str">
        <f>INDEX(products!$A$1:$G$49,MATCH(orders!$D137,products!$A$1:$A$49,0),MATCH(J$1,products!$A$1:$G$1,0))</f>
        <v>L</v>
      </c>
      <c r="K137" s="6">
        <f>INDEX(products!$A$1:$G$49,MATCH(orders!$D137,products!$A$1:$A$49,0),MATCH(K$1,products!$A$1:$G$1,0))</f>
        <v>0.5</v>
      </c>
      <c r="L137" s="7">
        <f>INDEX(products!$A$1:$G$49,MATCH(orders!$D137,products!$A$1:$A$49,0),MATCH(L$1,products!$A$1:$G$1,0))</f>
        <v>7.77</v>
      </c>
      <c r="M137" s="7">
        <f t="shared" si="6"/>
        <v>38.849999999999994</v>
      </c>
      <c r="N137" t="str">
        <f t="shared" si="7"/>
        <v>Arabica</v>
      </c>
      <c r="O137" t="str">
        <f t="shared" si="8"/>
        <v>Light</v>
      </c>
      <c r="P137" t="str">
        <f>_xlfn.XLOOKUP(Table1[[#This Row],[Customer ID]],customers!$A$2:$A$1001,customers!$I$2:$I$1001,,0)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INDEX(products!$A$1:$G$49,MATCH(orders!$D138,products!$A$1:$A$49,0),MATCH(I$1,products!$A$1:$G$1,0))</f>
        <v>Ara</v>
      </c>
      <c r="J138" t="str">
        <f>INDEX(products!$A$1:$G$49,MATCH(orders!$D138,products!$A$1:$A$49,0),MATCH(J$1,products!$A$1:$G$1,0))</f>
        <v>D</v>
      </c>
      <c r="K138" s="6">
        <f>INDEX(products!$A$1:$G$49,MATCH(orders!$D138,products!$A$1:$A$49,0),MATCH(K$1,products!$A$1:$G$1,0))</f>
        <v>0.2</v>
      </c>
      <c r="L138" s="7">
        <f>INDEX(products!$A$1:$G$49,MATCH(orders!$D138,products!$A$1:$A$49,0),MATCH(L$1,products!$A$1:$G$1,0))</f>
        <v>2.9849999999999999</v>
      </c>
      <c r="M138" s="7">
        <f t="shared" si="6"/>
        <v>11.94</v>
      </c>
      <c r="N138" t="str">
        <f t="shared" si="7"/>
        <v>Arabica</v>
      </c>
      <c r="O138" t="str">
        <f t="shared" si="8"/>
        <v>Dark</v>
      </c>
      <c r="P138" t="str">
        <f>_xlfn.XLOOKUP(Table1[[#This Row],[Customer ID]],customers!$A$2:$A$1001,customers!$I$2:$I$1001,,0)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INDEX(products!$A$1:$G$49,MATCH(orders!$D139,products!$A$1:$A$49,0),MATCH(I$1,products!$A$1:$G$1,0))</f>
        <v>Exc</v>
      </c>
      <c r="J139" t="str">
        <f>INDEX(products!$A$1:$G$49,MATCH(orders!$D139,products!$A$1:$A$49,0),MATCH(J$1,products!$A$1:$G$1,0))</f>
        <v>L</v>
      </c>
      <c r="K139" s="6">
        <f>INDEX(products!$A$1:$G$49,MATCH(orders!$D139,products!$A$1:$A$49,0),MATCH(K$1,products!$A$1:$G$1,0))</f>
        <v>2.5</v>
      </c>
      <c r="L139" s="7">
        <f>INDEX(products!$A$1:$G$49,MATCH(orders!$D139,products!$A$1:$A$49,0),MATCH(L$1,products!$A$1:$G$1,0))</f>
        <v>34.154999999999994</v>
      </c>
      <c r="M139" s="7">
        <f t="shared" si="6"/>
        <v>102.46499999999997</v>
      </c>
      <c r="N139" t="str">
        <f t="shared" si="7"/>
        <v>Excelsa</v>
      </c>
      <c r="O139" t="str">
        <f t="shared" si="8"/>
        <v>Light</v>
      </c>
      <c r="P139" t="str">
        <f>_xlfn.XLOOKUP(Table1[[#This Row],[Customer ID]],customers!$A$2:$A$1001,customers!$I$2:$I$1001,,0)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INDEX(products!$A$1:$G$49,MATCH(orders!$D140,products!$A$1:$A$49,0),MATCH(I$1,products!$A$1:$G$1,0))</f>
        <v>Exc</v>
      </c>
      <c r="J140" t="str">
        <f>INDEX(products!$A$1:$G$49,MATCH(orders!$D140,products!$A$1:$A$49,0),MATCH(J$1,products!$A$1:$G$1,0))</f>
        <v>D</v>
      </c>
      <c r="K140" s="6">
        <f>INDEX(products!$A$1:$G$49,MATCH(orders!$D140,products!$A$1:$A$49,0),MATCH(K$1,products!$A$1:$G$1,0))</f>
        <v>1</v>
      </c>
      <c r="L140" s="7">
        <f>INDEX(products!$A$1:$G$49,MATCH(orders!$D140,products!$A$1:$A$49,0),MATCH(L$1,products!$A$1:$G$1,0))</f>
        <v>12.15</v>
      </c>
      <c r="M140" s="7">
        <f t="shared" si="6"/>
        <v>48.6</v>
      </c>
      <c r="N140" t="str">
        <f t="shared" si="7"/>
        <v>Excelsa</v>
      </c>
      <c r="O140" t="str">
        <f t="shared" si="8"/>
        <v>Dark</v>
      </c>
      <c r="P140" t="str">
        <f>_xlfn.XLOOKUP(Table1[[#This Row],[Customer ID]],customers!$A$2:$A$1001,customers!$I$2:$I$1001,,0)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INDEX(products!$A$1:$G$49,MATCH(orders!$D141,products!$A$1:$A$49,0),MATCH(I$1,products!$A$1:$G$1,0))</f>
        <v>Lib</v>
      </c>
      <c r="J141" t="str">
        <f>INDEX(products!$A$1:$G$49,MATCH(orders!$D141,products!$A$1:$A$49,0),MATCH(J$1,products!$A$1:$G$1,0))</f>
        <v>D</v>
      </c>
      <c r="K141" s="6">
        <f>INDEX(products!$A$1:$G$49,MATCH(orders!$D141,products!$A$1:$A$49,0),MATCH(K$1,products!$A$1:$G$1,0))</f>
        <v>1</v>
      </c>
      <c r="L141" s="7">
        <f>INDEX(products!$A$1:$G$49,MATCH(orders!$D141,products!$A$1:$A$49,0),MATCH(L$1,products!$A$1:$G$1,0))</f>
        <v>12.95</v>
      </c>
      <c r="M141" s="7">
        <f t="shared" si="6"/>
        <v>77.699999999999989</v>
      </c>
      <c r="N141" t="str">
        <f t="shared" si="7"/>
        <v>Liberica</v>
      </c>
      <c r="O141" t="str">
        <f t="shared" si="8"/>
        <v>Dark</v>
      </c>
      <c r="P141" t="str">
        <f>_xlfn.XLOOKUP(Table1[[#This Row],[Customer ID]],customers!$A$2:$A$1001,customers!$I$2:$I$1001,,0)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INDEX(products!$A$1:$G$49,MATCH(orders!$D142,products!$A$1:$A$49,0),MATCH(I$1,products!$A$1:$G$1,0))</f>
        <v>Lib</v>
      </c>
      <c r="J142" t="str">
        <f>INDEX(products!$A$1:$G$49,MATCH(orders!$D142,products!$A$1:$A$49,0),MATCH(J$1,products!$A$1:$G$1,0))</f>
        <v>D</v>
      </c>
      <c r="K142" s="6">
        <f>INDEX(products!$A$1:$G$49,MATCH(orders!$D142,products!$A$1:$A$49,0),MATCH(K$1,products!$A$1:$G$1,0))</f>
        <v>2.5</v>
      </c>
      <c r="L142" s="7">
        <f>INDEX(products!$A$1:$G$49,MATCH(orders!$D142,products!$A$1:$A$49,0),MATCH(L$1,products!$A$1:$G$1,0))</f>
        <v>29.784999999999997</v>
      </c>
      <c r="M142" s="7">
        <f t="shared" si="6"/>
        <v>29.784999999999997</v>
      </c>
      <c r="N142" t="str">
        <f t="shared" si="7"/>
        <v>Liberica</v>
      </c>
      <c r="O142" t="str">
        <f t="shared" si="8"/>
        <v>Dark</v>
      </c>
      <c r="P142" t="str">
        <f>_xlfn.XLOOKUP(Table1[[#This Row],[Customer ID]],customers!$A$2:$A$1001,customers!$I$2:$I$1001,,0)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INDEX(products!$A$1:$G$49,MATCH(orders!$D143,products!$A$1:$A$49,0),MATCH(I$1,products!$A$1:$G$1,0))</f>
        <v>Ara</v>
      </c>
      <c r="J143" t="str">
        <f>INDEX(products!$A$1:$G$49,MATCH(orders!$D143,products!$A$1:$A$49,0),MATCH(J$1,products!$A$1:$G$1,0))</f>
        <v>L</v>
      </c>
      <c r="K143" s="6">
        <f>INDEX(products!$A$1:$G$49,MATCH(orders!$D143,products!$A$1:$A$49,0),MATCH(K$1,products!$A$1:$G$1,0))</f>
        <v>0.2</v>
      </c>
      <c r="L143" s="7">
        <f>INDEX(products!$A$1:$G$49,MATCH(orders!$D143,products!$A$1:$A$49,0),MATCH(L$1,products!$A$1:$G$1,0))</f>
        <v>3.8849999999999998</v>
      </c>
      <c r="M143" s="7">
        <f t="shared" si="6"/>
        <v>15.54</v>
      </c>
      <c r="N143" t="str">
        <f t="shared" si="7"/>
        <v>Arabica</v>
      </c>
      <c r="O143" t="str">
        <f t="shared" si="8"/>
        <v>Light</v>
      </c>
      <c r="P143" t="str">
        <f>_xlfn.XLOOKUP(Table1[[#This Row],[Customer ID]],customers!$A$2:$A$1001,customers!$I$2:$I$1001,,0)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INDEX(products!$A$1:$G$49,MATCH(orders!$D144,products!$A$1:$A$49,0),MATCH(I$1,products!$A$1:$G$1,0))</f>
        <v>Exc</v>
      </c>
      <c r="J144" t="str">
        <f>INDEX(products!$A$1:$G$49,MATCH(orders!$D144,products!$A$1:$A$49,0),MATCH(J$1,products!$A$1:$G$1,0))</f>
        <v>L</v>
      </c>
      <c r="K144" s="6">
        <f>INDEX(products!$A$1:$G$49,MATCH(orders!$D144,products!$A$1:$A$49,0),MATCH(K$1,products!$A$1:$G$1,0))</f>
        <v>2.5</v>
      </c>
      <c r="L144" s="7">
        <f>INDEX(products!$A$1:$G$49,MATCH(orders!$D144,products!$A$1:$A$49,0),MATCH(L$1,products!$A$1:$G$1,0))</f>
        <v>34.154999999999994</v>
      </c>
      <c r="M144" s="7">
        <f t="shared" si="6"/>
        <v>136.61999999999998</v>
      </c>
      <c r="N144" t="str">
        <f t="shared" si="7"/>
        <v>Excelsa</v>
      </c>
      <c r="O144" t="str">
        <f t="shared" si="8"/>
        <v>Light</v>
      </c>
      <c r="P144" t="str">
        <f>_xlfn.XLOOKUP(Table1[[#This Row],[Customer ID]],customers!$A$2:$A$1001,customers!$I$2:$I$1001,,0)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INDEX(products!$A$1:$G$49,MATCH(orders!$D145,products!$A$1:$A$49,0),MATCH(I$1,products!$A$1:$G$1,0))</f>
        <v>Lib</v>
      </c>
      <c r="J145" t="str">
        <f>INDEX(products!$A$1:$G$49,MATCH(orders!$D145,products!$A$1:$A$49,0),MATCH(J$1,products!$A$1:$G$1,0))</f>
        <v>M</v>
      </c>
      <c r="K145" s="6">
        <f>INDEX(products!$A$1:$G$49,MATCH(orders!$D145,products!$A$1:$A$49,0),MATCH(K$1,products!$A$1:$G$1,0))</f>
        <v>0.5</v>
      </c>
      <c r="L145" s="7">
        <f>INDEX(products!$A$1:$G$49,MATCH(orders!$D145,products!$A$1:$A$49,0),MATCH(L$1,products!$A$1:$G$1,0))</f>
        <v>8.73</v>
      </c>
      <c r="M145" s="7">
        <f t="shared" si="6"/>
        <v>17.46</v>
      </c>
      <c r="N145" t="str">
        <f t="shared" si="7"/>
        <v>Liberica</v>
      </c>
      <c r="O145" t="str">
        <f t="shared" si="8"/>
        <v>Medium</v>
      </c>
      <c r="P145" t="str">
        <f>_xlfn.XLOOKUP(Table1[[#This Row],[Customer ID]],customers!$A$2:$A$1001,customers!$I$2:$I$1001,,0)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INDEX(products!$A$1:$G$49,MATCH(orders!$D146,products!$A$1:$A$49,0),MATCH(I$1,products!$A$1:$G$1,0))</f>
        <v>Exc</v>
      </c>
      <c r="J146" t="str">
        <f>INDEX(products!$A$1:$G$49,MATCH(orders!$D146,products!$A$1:$A$49,0),MATCH(J$1,products!$A$1:$G$1,0))</f>
        <v>L</v>
      </c>
      <c r="K146" s="6">
        <f>INDEX(products!$A$1:$G$49,MATCH(orders!$D146,products!$A$1:$A$49,0),MATCH(K$1,products!$A$1:$G$1,0))</f>
        <v>2.5</v>
      </c>
      <c r="L146" s="7">
        <f>INDEX(products!$A$1:$G$49,MATCH(orders!$D146,products!$A$1:$A$49,0),MATCH(L$1,products!$A$1:$G$1,0))</f>
        <v>34.154999999999994</v>
      </c>
      <c r="M146" s="7">
        <f t="shared" si="6"/>
        <v>68.309999999999988</v>
      </c>
      <c r="N146" t="str">
        <f t="shared" si="7"/>
        <v>Excelsa</v>
      </c>
      <c r="O146" t="str">
        <f t="shared" si="8"/>
        <v>Light</v>
      </c>
      <c r="P146" t="str">
        <f>_xlfn.XLOOKUP(Table1[[#This Row],[Customer ID]],customers!$A$2:$A$1001,customers!$I$2:$I$1001,,0)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INDEX(products!$A$1:$G$49,MATCH(orders!$D147,products!$A$1:$A$49,0),MATCH(I$1,products!$A$1:$G$1,0))</f>
        <v>Lib</v>
      </c>
      <c r="J147" t="str">
        <f>INDEX(products!$A$1:$G$49,MATCH(orders!$D147,products!$A$1:$A$49,0),MATCH(J$1,products!$A$1:$G$1,0))</f>
        <v>M</v>
      </c>
      <c r="K147" s="6">
        <f>INDEX(products!$A$1:$G$49,MATCH(orders!$D147,products!$A$1:$A$49,0),MATCH(K$1,products!$A$1:$G$1,0))</f>
        <v>0.2</v>
      </c>
      <c r="L147" s="7">
        <f>INDEX(products!$A$1:$G$49,MATCH(orders!$D147,products!$A$1:$A$49,0),MATCH(L$1,products!$A$1:$G$1,0))</f>
        <v>4.3650000000000002</v>
      </c>
      <c r="M147" s="7">
        <f t="shared" si="6"/>
        <v>17.46</v>
      </c>
      <c r="N147" t="str">
        <f t="shared" si="7"/>
        <v>Liberica</v>
      </c>
      <c r="O147" t="str">
        <f t="shared" si="8"/>
        <v>Medium</v>
      </c>
      <c r="P147" t="str">
        <f>_xlfn.XLOOKUP(Table1[[#This Row],[Customer ID]],customers!$A$2:$A$1001,customers!$I$2:$I$1001,,0)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INDEX(products!$A$1:$G$49,MATCH(orders!$D148,products!$A$1:$A$49,0),MATCH(I$1,products!$A$1:$G$1,0))</f>
        <v>Lib</v>
      </c>
      <c r="J148" t="str">
        <f>INDEX(products!$A$1:$G$49,MATCH(orders!$D148,products!$A$1:$A$49,0),MATCH(J$1,products!$A$1:$G$1,0))</f>
        <v>M</v>
      </c>
      <c r="K148" s="6">
        <f>INDEX(products!$A$1:$G$49,MATCH(orders!$D148,products!$A$1:$A$49,0),MATCH(K$1,products!$A$1:$G$1,0))</f>
        <v>1</v>
      </c>
      <c r="L148" s="7">
        <f>INDEX(products!$A$1:$G$49,MATCH(orders!$D148,products!$A$1:$A$49,0),MATCH(L$1,products!$A$1:$G$1,0))</f>
        <v>14.55</v>
      </c>
      <c r="M148" s="7">
        <f t="shared" si="6"/>
        <v>43.650000000000006</v>
      </c>
      <c r="N148" t="str">
        <f t="shared" si="7"/>
        <v>Liberica</v>
      </c>
      <c r="O148" t="str">
        <f t="shared" si="8"/>
        <v>Medium</v>
      </c>
      <c r="P148" t="str">
        <f>_xlfn.XLOOKUP(Table1[[#This Row],[Customer ID]],customers!$A$2:$A$1001,customers!$I$2:$I$1001,,0)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INDEX(products!$A$1:$G$49,MATCH(orders!$D149,products!$A$1:$A$49,0),MATCH(I$1,products!$A$1:$G$1,0))</f>
        <v>Exc</v>
      </c>
      <c r="J149" t="str">
        <f>INDEX(products!$A$1:$G$49,MATCH(orders!$D149,products!$A$1:$A$49,0),MATCH(J$1,products!$A$1:$G$1,0))</f>
        <v>M</v>
      </c>
      <c r="K149" s="6">
        <f>INDEX(products!$A$1:$G$49,MATCH(orders!$D149,products!$A$1:$A$49,0),MATCH(K$1,products!$A$1:$G$1,0))</f>
        <v>1</v>
      </c>
      <c r="L149" s="7">
        <f>INDEX(products!$A$1:$G$49,MATCH(orders!$D149,products!$A$1:$A$49,0),MATCH(L$1,products!$A$1:$G$1,0))</f>
        <v>13.75</v>
      </c>
      <c r="M149" s="7">
        <f t="shared" si="6"/>
        <v>27.5</v>
      </c>
      <c r="N149" t="str">
        <f t="shared" si="7"/>
        <v>Excelsa</v>
      </c>
      <c r="O149" t="str">
        <f t="shared" si="8"/>
        <v>Medium</v>
      </c>
      <c r="P149" t="str">
        <f>_xlfn.XLOOKUP(Table1[[#This Row],[Customer ID]],customers!$A$2:$A$1001,customers!$I$2:$I$1001,,0)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INDEX(products!$A$1:$G$49,MATCH(orders!$D150,products!$A$1:$A$49,0),MATCH(I$1,products!$A$1:$G$1,0))</f>
        <v>Exc</v>
      </c>
      <c r="J150" t="str">
        <f>INDEX(products!$A$1:$G$49,MATCH(orders!$D150,products!$A$1:$A$49,0),MATCH(J$1,products!$A$1:$G$1,0))</f>
        <v>D</v>
      </c>
      <c r="K150" s="6">
        <f>INDEX(products!$A$1:$G$49,MATCH(orders!$D150,products!$A$1:$A$49,0),MATCH(K$1,products!$A$1:$G$1,0))</f>
        <v>0.2</v>
      </c>
      <c r="L150" s="7">
        <f>INDEX(products!$A$1:$G$49,MATCH(orders!$D150,products!$A$1:$A$49,0),MATCH(L$1,products!$A$1:$G$1,0))</f>
        <v>3.645</v>
      </c>
      <c r="M150" s="7">
        <f t="shared" si="6"/>
        <v>18.225000000000001</v>
      </c>
      <c r="N150" t="str">
        <f t="shared" si="7"/>
        <v>Excelsa</v>
      </c>
      <c r="O150" t="str">
        <f t="shared" si="8"/>
        <v>Dark</v>
      </c>
      <c r="P150" t="str">
        <f>_xlfn.XLOOKUP(Table1[[#This Row],[Customer ID]],customers!$A$2:$A$1001,customers!$I$2:$I$1001,,0)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INDEX(products!$A$1:$G$49,MATCH(orders!$D151,products!$A$1:$A$49,0),MATCH(I$1,products!$A$1:$G$1,0))</f>
        <v>Ara</v>
      </c>
      <c r="J151" t="str">
        <f>INDEX(products!$A$1:$G$49,MATCH(orders!$D151,products!$A$1:$A$49,0),MATCH(J$1,products!$A$1:$G$1,0))</f>
        <v>M</v>
      </c>
      <c r="K151" s="6">
        <f>INDEX(products!$A$1:$G$49,MATCH(orders!$D151,products!$A$1:$A$49,0),MATCH(K$1,products!$A$1:$G$1,0))</f>
        <v>2.5</v>
      </c>
      <c r="L151" s="7">
        <f>INDEX(products!$A$1:$G$49,MATCH(orders!$D151,products!$A$1:$A$49,0),MATCH(L$1,products!$A$1:$G$1,0))</f>
        <v>25.874999999999996</v>
      </c>
      <c r="M151" s="7">
        <f t="shared" si="6"/>
        <v>51.749999999999993</v>
      </c>
      <c r="N151" t="str">
        <f t="shared" si="7"/>
        <v>Arabica</v>
      </c>
      <c r="O151" t="str">
        <f t="shared" si="8"/>
        <v>Medium</v>
      </c>
      <c r="P151" t="str">
        <f>_xlfn.XLOOKUP(Table1[[#This Row],[Customer ID]],customers!$A$2:$A$1001,customers!$I$2:$I$1001,,0)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INDEX(products!$A$1:$G$49,MATCH(orders!$D152,products!$A$1:$A$49,0),MATCH(I$1,products!$A$1:$G$1,0))</f>
        <v>Lib</v>
      </c>
      <c r="J152" t="str">
        <f>INDEX(products!$A$1:$G$49,MATCH(orders!$D152,products!$A$1:$A$49,0),MATCH(J$1,products!$A$1:$G$1,0))</f>
        <v>D</v>
      </c>
      <c r="K152" s="6">
        <f>INDEX(products!$A$1:$G$49,MATCH(orders!$D152,products!$A$1:$A$49,0),MATCH(K$1,products!$A$1:$G$1,0))</f>
        <v>1</v>
      </c>
      <c r="L152" s="7">
        <f>INDEX(products!$A$1:$G$49,MATCH(orders!$D152,products!$A$1:$A$49,0),MATCH(L$1,products!$A$1:$G$1,0))</f>
        <v>12.95</v>
      </c>
      <c r="M152" s="7">
        <f t="shared" si="6"/>
        <v>12.95</v>
      </c>
      <c r="N152" t="str">
        <f t="shared" si="7"/>
        <v>Liberica</v>
      </c>
      <c r="O152" t="str">
        <f t="shared" si="8"/>
        <v>Dark</v>
      </c>
      <c r="P152" t="str">
        <f>_xlfn.XLOOKUP(Table1[[#This Row],[Customer ID]],customers!$A$2:$A$1001,customers!$I$2:$I$1001,,0)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INDEX(products!$A$1:$G$49,MATCH(orders!$D153,products!$A$1:$A$49,0),MATCH(I$1,products!$A$1:$G$1,0))</f>
        <v>Ara</v>
      </c>
      <c r="J153" t="str">
        <f>INDEX(products!$A$1:$G$49,MATCH(orders!$D153,products!$A$1:$A$49,0),MATCH(J$1,products!$A$1:$G$1,0))</f>
        <v>M</v>
      </c>
      <c r="K153" s="6">
        <f>INDEX(products!$A$1:$G$49,MATCH(orders!$D153,products!$A$1:$A$49,0),MATCH(K$1,products!$A$1:$G$1,0))</f>
        <v>1</v>
      </c>
      <c r="L153" s="7">
        <f>INDEX(products!$A$1:$G$49,MATCH(orders!$D153,products!$A$1:$A$49,0),MATCH(L$1,products!$A$1:$G$1,0))</f>
        <v>11.25</v>
      </c>
      <c r="M153" s="7">
        <f t="shared" si="6"/>
        <v>33.75</v>
      </c>
      <c r="N153" t="str">
        <f t="shared" si="7"/>
        <v>Arabica</v>
      </c>
      <c r="O153" t="str">
        <f t="shared" si="8"/>
        <v>Medium</v>
      </c>
      <c r="P153" t="str">
        <f>_xlfn.XLOOKUP(Table1[[#This Row],[Customer ID]],customers!$A$2:$A$1001,customers!$I$2:$I$1001,,0)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INDEX(products!$A$1:$G$49,MATCH(orders!$D154,products!$A$1:$A$49,0),MATCH(I$1,products!$A$1:$G$1,0))</f>
        <v>Rob</v>
      </c>
      <c r="J154" t="str">
        <f>INDEX(products!$A$1:$G$49,MATCH(orders!$D154,products!$A$1:$A$49,0),MATCH(J$1,products!$A$1:$G$1,0))</f>
        <v>M</v>
      </c>
      <c r="K154" s="6">
        <f>INDEX(products!$A$1:$G$49,MATCH(orders!$D154,products!$A$1:$A$49,0),MATCH(K$1,products!$A$1:$G$1,0))</f>
        <v>2.5</v>
      </c>
      <c r="L154" s="7">
        <f>INDEX(products!$A$1:$G$49,MATCH(orders!$D154,products!$A$1:$A$49,0),MATCH(L$1,products!$A$1:$G$1,0))</f>
        <v>22.884999999999998</v>
      </c>
      <c r="M154" s="7">
        <f t="shared" si="6"/>
        <v>68.655000000000001</v>
      </c>
      <c r="N154" t="str">
        <f t="shared" si="7"/>
        <v>Robusta</v>
      </c>
      <c r="O154" t="str">
        <f t="shared" si="8"/>
        <v>Medium</v>
      </c>
      <c r="P154" t="str">
        <f>_xlfn.XLOOKUP(Table1[[#This Row],[Customer ID]],customers!$A$2:$A$1001,customers!$I$2:$I$1001,,0)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INDEX(products!$A$1:$G$49,MATCH(orders!$D155,products!$A$1:$A$49,0),MATCH(I$1,products!$A$1:$G$1,0))</f>
        <v>Rob</v>
      </c>
      <c r="J155" t="str">
        <f>INDEX(products!$A$1:$G$49,MATCH(orders!$D155,products!$A$1:$A$49,0),MATCH(J$1,products!$A$1:$G$1,0))</f>
        <v>D</v>
      </c>
      <c r="K155" s="6">
        <f>INDEX(products!$A$1:$G$49,MATCH(orders!$D155,products!$A$1:$A$49,0),MATCH(K$1,products!$A$1:$G$1,0))</f>
        <v>0.2</v>
      </c>
      <c r="L155" s="7">
        <f>INDEX(products!$A$1:$G$49,MATCH(orders!$D155,products!$A$1:$A$49,0),MATCH(L$1,products!$A$1:$G$1,0))</f>
        <v>2.6849999999999996</v>
      </c>
      <c r="M155" s="7">
        <f t="shared" si="6"/>
        <v>2.6849999999999996</v>
      </c>
      <c r="N155" t="str">
        <f t="shared" si="7"/>
        <v>Robusta</v>
      </c>
      <c r="O155" t="str">
        <f t="shared" si="8"/>
        <v>Dark</v>
      </c>
      <c r="P155" t="str">
        <f>_xlfn.XLOOKUP(Table1[[#This Row],[Customer ID]],customers!$A$2:$A$1001,customers!$I$2:$I$1001,,0)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INDEX(products!$A$1:$G$49,MATCH(orders!$D156,products!$A$1:$A$49,0),MATCH(I$1,products!$A$1:$G$1,0))</f>
        <v>Ara</v>
      </c>
      <c r="J156" t="str">
        <f>INDEX(products!$A$1:$G$49,MATCH(orders!$D156,products!$A$1:$A$49,0),MATCH(J$1,products!$A$1:$G$1,0))</f>
        <v>D</v>
      </c>
      <c r="K156" s="6">
        <f>INDEX(products!$A$1:$G$49,MATCH(orders!$D156,products!$A$1:$A$49,0),MATCH(K$1,products!$A$1:$G$1,0))</f>
        <v>2.5</v>
      </c>
      <c r="L156" s="7">
        <f>INDEX(products!$A$1:$G$49,MATCH(orders!$D156,products!$A$1:$A$49,0),MATCH(L$1,products!$A$1:$G$1,0))</f>
        <v>22.884999999999998</v>
      </c>
      <c r="M156" s="7">
        <f t="shared" si="6"/>
        <v>114.42499999999998</v>
      </c>
      <c r="N156" t="str">
        <f t="shared" si="7"/>
        <v>Arabica</v>
      </c>
      <c r="O156" t="str">
        <f t="shared" si="8"/>
        <v>Dark</v>
      </c>
      <c r="P156" t="str">
        <f>_xlfn.XLOOKUP(Table1[[#This Row],[Customer ID]],customers!$A$2:$A$1001,customers!$I$2:$I$1001,,0)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INDEX(products!$A$1:$G$49,MATCH(orders!$D157,products!$A$1:$A$49,0),MATCH(I$1,products!$A$1:$G$1,0))</f>
        <v>Ara</v>
      </c>
      <c r="J157" t="str">
        <f>INDEX(products!$A$1:$G$49,MATCH(orders!$D157,products!$A$1:$A$49,0),MATCH(J$1,products!$A$1:$G$1,0))</f>
        <v>M</v>
      </c>
      <c r="K157" s="6">
        <f>INDEX(products!$A$1:$G$49,MATCH(orders!$D157,products!$A$1:$A$49,0),MATCH(K$1,products!$A$1:$G$1,0))</f>
        <v>2.5</v>
      </c>
      <c r="L157" s="7">
        <f>INDEX(products!$A$1:$G$49,MATCH(orders!$D157,products!$A$1:$A$49,0),MATCH(L$1,products!$A$1:$G$1,0))</f>
        <v>25.874999999999996</v>
      </c>
      <c r="M157" s="7">
        <f t="shared" si="6"/>
        <v>155.24999999999997</v>
      </c>
      <c r="N157" t="str">
        <f t="shared" si="7"/>
        <v>Arabica</v>
      </c>
      <c r="O157" t="str">
        <f t="shared" si="8"/>
        <v>Medium</v>
      </c>
      <c r="P157" t="str">
        <f>_xlfn.XLOOKUP(Table1[[#This Row],[Customer ID]],customers!$A$2:$A$1001,customers!$I$2:$I$1001,,0)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INDEX(products!$A$1:$G$49,MATCH(orders!$D158,products!$A$1:$A$49,0),MATCH(I$1,products!$A$1:$G$1,0))</f>
        <v>Ara</v>
      </c>
      <c r="J158" t="str">
        <f>INDEX(products!$A$1:$G$49,MATCH(orders!$D158,products!$A$1:$A$49,0),MATCH(J$1,products!$A$1:$G$1,0))</f>
        <v>M</v>
      </c>
      <c r="K158" s="6">
        <f>INDEX(products!$A$1:$G$49,MATCH(orders!$D158,products!$A$1:$A$49,0),MATCH(K$1,products!$A$1:$G$1,0))</f>
        <v>2.5</v>
      </c>
      <c r="L158" s="7">
        <f>INDEX(products!$A$1:$G$49,MATCH(orders!$D158,products!$A$1:$A$49,0),MATCH(L$1,products!$A$1:$G$1,0))</f>
        <v>25.874999999999996</v>
      </c>
      <c r="M158" s="7">
        <f t="shared" si="6"/>
        <v>77.624999999999986</v>
      </c>
      <c r="N158" t="str">
        <f t="shared" si="7"/>
        <v>Arabica</v>
      </c>
      <c r="O158" t="str">
        <f t="shared" si="8"/>
        <v>Medium</v>
      </c>
      <c r="P158" t="str">
        <f>_xlfn.XLOOKUP(Table1[[#This Row],[Customer ID]],customers!$A$2:$A$1001,customers!$I$2:$I$1001,,0)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INDEX(products!$A$1:$G$49,MATCH(orders!$D159,products!$A$1:$A$49,0),MATCH(I$1,products!$A$1:$G$1,0))</f>
        <v>Rob</v>
      </c>
      <c r="J159" t="str">
        <f>INDEX(products!$A$1:$G$49,MATCH(orders!$D159,products!$A$1:$A$49,0),MATCH(J$1,products!$A$1:$G$1,0))</f>
        <v>D</v>
      </c>
      <c r="K159" s="6">
        <f>INDEX(products!$A$1:$G$49,MATCH(orders!$D159,products!$A$1:$A$49,0),MATCH(K$1,products!$A$1:$G$1,0))</f>
        <v>2.5</v>
      </c>
      <c r="L159" s="7">
        <f>INDEX(products!$A$1:$G$49,MATCH(orders!$D159,products!$A$1:$A$49,0),MATCH(L$1,products!$A$1:$G$1,0))</f>
        <v>20.584999999999997</v>
      </c>
      <c r="M159" s="7">
        <f t="shared" si="6"/>
        <v>61.754999999999995</v>
      </c>
      <c r="N159" t="str">
        <f t="shared" si="7"/>
        <v>Robusta</v>
      </c>
      <c r="O159" t="str">
        <f t="shared" si="8"/>
        <v>Dark</v>
      </c>
      <c r="P159" t="str">
        <f>_xlfn.XLOOKUP(Table1[[#This Row],[Customer ID]],customers!$A$2:$A$1001,customers!$I$2:$I$1001,,0)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INDEX(products!$A$1:$G$49,MATCH(orders!$D160,products!$A$1:$A$49,0),MATCH(I$1,products!$A$1:$G$1,0))</f>
        <v>Rob</v>
      </c>
      <c r="J160" t="str">
        <f>INDEX(products!$A$1:$G$49,MATCH(orders!$D160,products!$A$1:$A$49,0),MATCH(J$1,products!$A$1:$G$1,0))</f>
        <v>D</v>
      </c>
      <c r="K160" s="6">
        <f>INDEX(products!$A$1:$G$49,MATCH(orders!$D160,products!$A$1:$A$49,0),MATCH(K$1,products!$A$1:$G$1,0))</f>
        <v>2.5</v>
      </c>
      <c r="L160" s="7">
        <f>INDEX(products!$A$1:$G$49,MATCH(orders!$D160,products!$A$1:$A$49,0),MATCH(L$1,products!$A$1:$G$1,0))</f>
        <v>20.584999999999997</v>
      </c>
      <c r="M160" s="7">
        <f t="shared" si="6"/>
        <v>123.50999999999999</v>
      </c>
      <c r="N160" t="str">
        <f t="shared" si="7"/>
        <v>Robusta</v>
      </c>
      <c r="O160" t="str">
        <f t="shared" si="8"/>
        <v>Dark</v>
      </c>
      <c r="P160" t="str">
        <f>_xlfn.XLOOKUP(Table1[[#This Row],[Customer ID]],customers!$A$2:$A$1001,customers!$I$2:$I$1001,,0)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INDEX(products!$A$1:$G$49,MATCH(orders!$D161,products!$A$1:$A$49,0),MATCH(I$1,products!$A$1:$G$1,0))</f>
        <v>Lib</v>
      </c>
      <c r="J161" t="str">
        <f>INDEX(products!$A$1:$G$49,MATCH(orders!$D161,products!$A$1:$A$49,0),MATCH(J$1,products!$A$1:$G$1,0))</f>
        <v>L</v>
      </c>
      <c r="K161" s="6">
        <f>INDEX(products!$A$1:$G$49,MATCH(orders!$D161,products!$A$1:$A$49,0),MATCH(K$1,products!$A$1:$G$1,0))</f>
        <v>2.5</v>
      </c>
      <c r="L161" s="7">
        <f>INDEX(products!$A$1:$G$49,MATCH(orders!$D161,products!$A$1:$A$49,0),MATCH(L$1,products!$A$1:$G$1,0))</f>
        <v>36.454999999999998</v>
      </c>
      <c r="M161" s="7">
        <f t="shared" si="6"/>
        <v>218.73</v>
      </c>
      <c r="N161" t="str">
        <f t="shared" si="7"/>
        <v>Liberica</v>
      </c>
      <c r="O161" t="str">
        <f t="shared" si="8"/>
        <v>Light</v>
      </c>
      <c r="P161" t="str">
        <f>_xlfn.XLOOKUP(Table1[[#This Row],[Customer ID]],customers!$A$2:$A$1001,customers!$I$2:$I$1001,,0)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INDEX(products!$A$1:$G$49,MATCH(orders!$D162,products!$A$1:$A$49,0),MATCH(I$1,products!$A$1:$G$1,0))</f>
        <v>Exc</v>
      </c>
      <c r="J162" t="str">
        <f>INDEX(products!$A$1:$G$49,MATCH(orders!$D162,products!$A$1:$A$49,0),MATCH(J$1,products!$A$1:$G$1,0))</f>
        <v>M</v>
      </c>
      <c r="K162" s="6">
        <f>INDEX(products!$A$1:$G$49,MATCH(orders!$D162,products!$A$1:$A$49,0),MATCH(K$1,products!$A$1:$G$1,0))</f>
        <v>0.5</v>
      </c>
      <c r="L162" s="7">
        <f>INDEX(products!$A$1:$G$49,MATCH(orders!$D162,products!$A$1:$A$49,0),MATCH(L$1,products!$A$1:$G$1,0))</f>
        <v>8.25</v>
      </c>
      <c r="M162" s="7">
        <f t="shared" si="6"/>
        <v>33</v>
      </c>
      <c r="N162" t="str">
        <f t="shared" si="7"/>
        <v>Excelsa</v>
      </c>
      <c r="O162" t="str">
        <f t="shared" si="8"/>
        <v>Medium</v>
      </c>
      <c r="P162" t="str">
        <f>_xlfn.XLOOKUP(Table1[[#This Row],[Customer ID]],customers!$A$2:$A$1001,customers!$I$2:$I$1001,,0)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INDEX(products!$A$1:$G$49,MATCH(orders!$D163,products!$A$1:$A$49,0),MATCH(I$1,products!$A$1:$G$1,0))</f>
        <v>Ara</v>
      </c>
      <c r="J163" t="str">
        <f>INDEX(products!$A$1:$G$49,MATCH(orders!$D163,products!$A$1:$A$49,0),MATCH(J$1,products!$A$1:$G$1,0))</f>
        <v>L</v>
      </c>
      <c r="K163" s="6">
        <f>INDEX(products!$A$1:$G$49,MATCH(orders!$D163,products!$A$1:$A$49,0),MATCH(K$1,products!$A$1:$G$1,0))</f>
        <v>0.5</v>
      </c>
      <c r="L163" s="7">
        <f>INDEX(products!$A$1:$G$49,MATCH(orders!$D163,products!$A$1:$A$49,0),MATCH(L$1,products!$A$1:$G$1,0))</f>
        <v>7.77</v>
      </c>
      <c r="M163" s="7">
        <f t="shared" si="6"/>
        <v>23.31</v>
      </c>
      <c r="N163" t="str">
        <f t="shared" si="7"/>
        <v>Arabica</v>
      </c>
      <c r="O163" t="str">
        <f t="shared" si="8"/>
        <v>Light</v>
      </c>
      <c r="P163" t="str">
        <f>_xlfn.XLOOKUP(Table1[[#This Row],[Customer ID]],customers!$A$2:$A$1001,customers!$I$2:$I$1001,,0)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INDEX(products!$A$1:$G$49,MATCH(orders!$D164,products!$A$1:$A$49,0),MATCH(I$1,products!$A$1:$G$1,0))</f>
        <v>Exc</v>
      </c>
      <c r="J164" t="str">
        <f>INDEX(products!$A$1:$G$49,MATCH(orders!$D164,products!$A$1:$A$49,0),MATCH(J$1,products!$A$1:$G$1,0))</f>
        <v>D</v>
      </c>
      <c r="K164" s="6">
        <f>INDEX(products!$A$1:$G$49,MATCH(orders!$D164,products!$A$1:$A$49,0),MATCH(K$1,products!$A$1:$G$1,0))</f>
        <v>0.5</v>
      </c>
      <c r="L164" s="7">
        <f>INDEX(products!$A$1:$G$49,MATCH(orders!$D164,products!$A$1:$A$49,0),MATCH(L$1,products!$A$1:$G$1,0))</f>
        <v>7.29</v>
      </c>
      <c r="M164" s="7">
        <f t="shared" si="6"/>
        <v>21.87</v>
      </c>
      <c r="N164" t="str">
        <f t="shared" si="7"/>
        <v>Excelsa</v>
      </c>
      <c r="O164" t="str">
        <f t="shared" si="8"/>
        <v>Dark</v>
      </c>
      <c r="P164" t="str">
        <f>_xlfn.XLOOKUP(Table1[[#This Row],[Customer ID]],customers!$A$2:$A$1001,customers!$I$2:$I$1001,,0)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INDEX(products!$A$1:$G$49,MATCH(orders!$D165,products!$A$1:$A$49,0),MATCH(I$1,products!$A$1:$G$1,0))</f>
        <v>Rob</v>
      </c>
      <c r="J165" t="str">
        <f>INDEX(products!$A$1:$G$49,MATCH(orders!$D165,products!$A$1:$A$49,0),MATCH(J$1,products!$A$1:$G$1,0))</f>
        <v>D</v>
      </c>
      <c r="K165" s="6">
        <f>INDEX(products!$A$1:$G$49,MATCH(orders!$D165,products!$A$1:$A$49,0),MATCH(K$1,products!$A$1:$G$1,0))</f>
        <v>0.2</v>
      </c>
      <c r="L165" s="7">
        <f>INDEX(products!$A$1:$G$49,MATCH(orders!$D165,products!$A$1:$A$49,0),MATCH(L$1,products!$A$1:$G$1,0))</f>
        <v>2.6849999999999996</v>
      </c>
      <c r="M165" s="7">
        <f t="shared" si="6"/>
        <v>16.11</v>
      </c>
      <c r="N165" t="str">
        <f t="shared" si="7"/>
        <v>Robusta</v>
      </c>
      <c r="O165" t="str">
        <f t="shared" si="8"/>
        <v>Dark</v>
      </c>
      <c r="P165" t="str">
        <f>_xlfn.XLOOKUP(Table1[[#This Row],[Customer ID]],customers!$A$2:$A$1001,customers!$I$2:$I$1001,,0)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INDEX(products!$A$1:$G$49,MATCH(orders!$D166,products!$A$1:$A$49,0),MATCH(I$1,products!$A$1:$G$1,0))</f>
        <v>Exc</v>
      </c>
      <c r="J166" t="str">
        <f>INDEX(products!$A$1:$G$49,MATCH(orders!$D166,products!$A$1:$A$49,0),MATCH(J$1,products!$A$1:$G$1,0))</f>
        <v>D</v>
      </c>
      <c r="K166" s="6">
        <f>INDEX(products!$A$1:$G$49,MATCH(orders!$D166,products!$A$1:$A$49,0),MATCH(K$1,products!$A$1:$G$1,0))</f>
        <v>0.5</v>
      </c>
      <c r="L166" s="7">
        <f>INDEX(products!$A$1:$G$49,MATCH(orders!$D166,products!$A$1:$A$49,0),MATCH(L$1,products!$A$1:$G$1,0))</f>
        <v>7.29</v>
      </c>
      <c r="M166" s="7">
        <f t="shared" si="6"/>
        <v>29.16</v>
      </c>
      <c r="N166" t="str">
        <f t="shared" si="7"/>
        <v>Excelsa</v>
      </c>
      <c r="O166" t="str">
        <f t="shared" si="8"/>
        <v>Dark</v>
      </c>
      <c r="P166" t="str">
        <f>_xlfn.XLOOKUP(Table1[[#This Row],[Customer ID]],customers!$A$2:$A$1001,customers!$I$2:$I$1001,,0)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INDEX(products!$A$1:$G$49,MATCH(orders!$D167,products!$A$1:$A$49,0),MATCH(I$1,products!$A$1:$G$1,0))</f>
        <v>Rob</v>
      </c>
      <c r="J167" t="str">
        <f>INDEX(products!$A$1:$G$49,MATCH(orders!$D167,products!$A$1:$A$49,0),MATCH(J$1,products!$A$1:$G$1,0))</f>
        <v>D</v>
      </c>
      <c r="K167" s="6">
        <f>INDEX(products!$A$1:$G$49,MATCH(orders!$D167,products!$A$1:$A$49,0),MATCH(K$1,products!$A$1:$G$1,0))</f>
        <v>1</v>
      </c>
      <c r="L167" s="7">
        <f>INDEX(products!$A$1:$G$49,MATCH(orders!$D167,products!$A$1:$A$49,0),MATCH(L$1,products!$A$1:$G$1,0))</f>
        <v>8.9499999999999993</v>
      </c>
      <c r="M167" s="7">
        <f t="shared" si="6"/>
        <v>53.699999999999996</v>
      </c>
      <c r="N167" t="str">
        <f t="shared" si="7"/>
        <v>Robusta</v>
      </c>
      <c r="O167" t="str">
        <f t="shared" si="8"/>
        <v>Dark</v>
      </c>
      <c r="P167" t="str">
        <f>_xlfn.XLOOKUP(Table1[[#This Row],[Customer ID]],customers!$A$2:$A$1001,customers!$I$2:$I$1001,,0)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INDEX(products!$A$1:$G$49,MATCH(orders!$D168,products!$A$1:$A$49,0),MATCH(I$1,products!$A$1:$G$1,0))</f>
        <v>Rob</v>
      </c>
      <c r="J168" t="str">
        <f>INDEX(products!$A$1:$G$49,MATCH(orders!$D168,products!$A$1:$A$49,0),MATCH(J$1,products!$A$1:$G$1,0))</f>
        <v>D</v>
      </c>
      <c r="K168" s="6">
        <f>INDEX(products!$A$1:$G$49,MATCH(orders!$D168,products!$A$1:$A$49,0),MATCH(K$1,products!$A$1:$G$1,0))</f>
        <v>0.5</v>
      </c>
      <c r="L168" s="7">
        <f>INDEX(products!$A$1:$G$49,MATCH(orders!$D168,products!$A$1:$A$49,0),MATCH(L$1,products!$A$1:$G$1,0))</f>
        <v>5.3699999999999992</v>
      </c>
      <c r="M168" s="7">
        <f t="shared" si="6"/>
        <v>26.849999999999994</v>
      </c>
      <c r="N168" t="str">
        <f t="shared" si="7"/>
        <v>Robusta</v>
      </c>
      <c r="O168" t="str">
        <f t="shared" si="8"/>
        <v>Dark</v>
      </c>
      <c r="P168" t="str">
        <f>_xlfn.XLOOKUP(Table1[[#This Row],[Customer ID]],customers!$A$2:$A$1001,customers!$I$2:$I$1001,,0)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INDEX(products!$A$1:$G$49,MATCH(orders!$D169,products!$A$1:$A$49,0),MATCH(I$1,products!$A$1:$G$1,0))</f>
        <v>Exc</v>
      </c>
      <c r="J169" t="str">
        <f>INDEX(products!$A$1:$G$49,MATCH(orders!$D169,products!$A$1:$A$49,0),MATCH(J$1,products!$A$1:$G$1,0))</f>
        <v>M</v>
      </c>
      <c r="K169" s="6">
        <f>INDEX(products!$A$1:$G$49,MATCH(orders!$D169,products!$A$1:$A$49,0),MATCH(K$1,products!$A$1:$G$1,0))</f>
        <v>0.5</v>
      </c>
      <c r="L169" s="7">
        <f>INDEX(products!$A$1:$G$49,MATCH(orders!$D169,products!$A$1:$A$49,0),MATCH(L$1,products!$A$1:$G$1,0))</f>
        <v>8.25</v>
      </c>
      <c r="M169" s="7">
        <f t="shared" si="6"/>
        <v>41.25</v>
      </c>
      <c r="N169" t="str">
        <f t="shared" si="7"/>
        <v>Excelsa</v>
      </c>
      <c r="O169" t="str">
        <f t="shared" si="8"/>
        <v>Medium</v>
      </c>
      <c r="P169" t="str">
        <f>_xlfn.XLOOKUP(Table1[[#This Row],[Customer ID]],customers!$A$2:$A$1001,customers!$I$2:$I$1001,,0)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INDEX(products!$A$1:$G$49,MATCH(orders!$D170,products!$A$1:$A$49,0),MATCH(I$1,products!$A$1:$G$1,0))</f>
        <v>Ara</v>
      </c>
      <c r="J170" t="str">
        <f>INDEX(products!$A$1:$G$49,MATCH(orders!$D170,products!$A$1:$A$49,0),MATCH(J$1,products!$A$1:$G$1,0))</f>
        <v>M</v>
      </c>
      <c r="K170" s="6">
        <f>INDEX(products!$A$1:$G$49,MATCH(orders!$D170,products!$A$1:$A$49,0),MATCH(K$1,products!$A$1:$G$1,0))</f>
        <v>0.5</v>
      </c>
      <c r="L170" s="7">
        <f>INDEX(products!$A$1:$G$49,MATCH(orders!$D170,products!$A$1:$A$49,0),MATCH(L$1,products!$A$1:$G$1,0))</f>
        <v>6.75</v>
      </c>
      <c r="M170" s="7">
        <f t="shared" si="6"/>
        <v>40.5</v>
      </c>
      <c r="N170" t="str">
        <f t="shared" si="7"/>
        <v>Arabica</v>
      </c>
      <c r="O170" t="str">
        <f t="shared" si="8"/>
        <v>Medium</v>
      </c>
      <c r="P170" t="str">
        <f>_xlfn.XLOOKUP(Table1[[#This Row],[Customer ID]],customers!$A$2:$A$1001,customers!$I$2:$I$1001,,0)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INDEX(products!$A$1:$G$49,MATCH(orders!$D171,products!$A$1:$A$49,0),MATCH(I$1,products!$A$1:$G$1,0))</f>
        <v>Rob</v>
      </c>
      <c r="J171" t="str">
        <f>INDEX(products!$A$1:$G$49,MATCH(orders!$D171,products!$A$1:$A$49,0),MATCH(J$1,products!$A$1:$G$1,0))</f>
        <v>D</v>
      </c>
      <c r="K171" s="6">
        <f>INDEX(products!$A$1:$G$49,MATCH(orders!$D171,products!$A$1:$A$49,0),MATCH(K$1,products!$A$1:$G$1,0))</f>
        <v>1</v>
      </c>
      <c r="L171" s="7">
        <f>INDEX(products!$A$1:$G$49,MATCH(orders!$D171,products!$A$1:$A$49,0),MATCH(L$1,products!$A$1:$G$1,0))</f>
        <v>8.9499999999999993</v>
      </c>
      <c r="M171" s="7">
        <f t="shared" si="6"/>
        <v>17.899999999999999</v>
      </c>
      <c r="N171" t="str">
        <f t="shared" si="7"/>
        <v>Robusta</v>
      </c>
      <c r="O171" t="str">
        <f t="shared" si="8"/>
        <v>Dark</v>
      </c>
      <c r="P171" t="str">
        <f>_xlfn.XLOOKUP(Table1[[#This Row],[Customer ID]],customers!$A$2:$A$1001,customers!$I$2:$I$1001,,0)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INDEX(products!$A$1:$G$49,MATCH(orders!$D172,products!$A$1:$A$49,0),MATCH(I$1,products!$A$1:$G$1,0))</f>
        <v>Exc</v>
      </c>
      <c r="J172" t="str">
        <f>INDEX(products!$A$1:$G$49,MATCH(orders!$D172,products!$A$1:$A$49,0),MATCH(J$1,products!$A$1:$G$1,0))</f>
        <v>L</v>
      </c>
      <c r="K172" s="6">
        <f>INDEX(products!$A$1:$G$49,MATCH(orders!$D172,products!$A$1:$A$49,0),MATCH(K$1,products!$A$1:$G$1,0))</f>
        <v>2.5</v>
      </c>
      <c r="L172" s="7">
        <f>INDEX(products!$A$1:$G$49,MATCH(orders!$D172,products!$A$1:$A$49,0),MATCH(L$1,products!$A$1:$G$1,0))</f>
        <v>34.154999999999994</v>
      </c>
      <c r="M172" s="7">
        <f t="shared" si="6"/>
        <v>68.309999999999988</v>
      </c>
      <c r="N172" t="str">
        <f t="shared" si="7"/>
        <v>Excelsa</v>
      </c>
      <c r="O172" t="str">
        <f t="shared" si="8"/>
        <v>Light</v>
      </c>
      <c r="P172" t="str">
        <f>_xlfn.XLOOKUP(Table1[[#This Row],[Customer ID]],customers!$A$2:$A$1001,customers!$I$2:$I$1001,,0)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INDEX(products!$A$1:$G$49,MATCH(orders!$D173,products!$A$1:$A$49,0),MATCH(I$1,products!$A$1:$G$1,0))</f>
        <v>Exc</v>
      </c>
      <c r="J173" t="str">
        <f>INDEX(products!$A$1:$G$49,MATCH(orders!$D173,products!$A$1:$A$49,0),MATCH(J$1,products!$A$1:$G$1,0))</f>
        <v>M</v>
      </c>
      <c r="K173" s="6">
        <f>INDEX(products!$A$1:$G$49,MATCH(orders!$D173,products!$A$1:$A$49,0),MATCH(K$1,products!$A$1:$G$1,0))</f>
        <v>2.5</v>
      </c>
      <c r="L173" s="7">
        <f>INDEX(products!$A$1:$G$49,MATCH(orders!$D173,products!$A$1:$A$49,0),MATCH(L$1,products!$A$1:$G$1,0))</f>
        <v>31.624999999999996</v>
      </c>
      <c r="M173" s="7">
        <f t="shared" si="6"/>
        <v>63.249999999999993</v>
      </c>
      <c r="N173" t="str">
        <f t="shared" si="7"/>
        <v>Excelsa</v>
      </c>
      <c r="O173" t="str">
        <f t="shared" si="8"/>
        <v>Medium</v>
      </c>
      <c r="P173" t="str">
        <f>_xlfn.XLOOKUP(Table1[[#This Row],[Customer ID]],customers!$A$2:$A$1001,customers!$I$2:$I$1001,,0)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INDEX(products!$A$1:$G$49,MATCH(orders!$D174,products!$A$1:$A$49,0),MATCH(I$1,products!$A$1:$G$1,0))</f>
        <v>Exc</v>
      </c>
      <c r="J174" t="str">
        <f>INDEX(products!$A$1:$G$49,MATCH(orders!$D174,products!$A$1:$A$49,0),MATCH(J$1,products!$A$1:$G$1,0))</f>
        <v>D</v>
      </c>
      <c r="K174" s="6">
        <f>INDEX(products!$A$1:$G$49,MATCH(orders!$D174,products!$A$1:$A$49,0),MATCH(K$1,products!$A$1:$G$1,0))</f>
        <v>0.5</v>
      </c>
      <c r="L174" s="7">
        <f>INDEX(products!$A$1:$G$49,MATCH(orders!$D174,products!$A$1:$A$49,0),MATCH(L$1,products!$A$1:$G$1,0))</f>
        <v>7.29</v>
      </c>
      <c r="M174" s="7">
        <f t="shared" si="6"/>
        <v>21.87</v>
      </c>
      <c r="N174" t="str">
        <f t="shared" si="7"/>
        <v>Excelsa</v>
      </c>
      <c r="O174" t="str">
        <f t="shared" si="8"/>
        <v>Dark</v>
      </c>
      <c r="P174" t="str">
        <f>_xlfn.XLOOKUP(Table1[[#This Row],[Customer ID]],customers!$A$2:$A$1001,customers!$I$2:$I$1001,,0)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INDEX(products!$A$1:$G$49,MATCH(orders!$D175,products!$A$1:$A$49,0),MATCH(I$1,products!$A$1:$G$1,0))</f>
        <v>Rob</v>
      </c>
      <c r="J175" t="str">
        <f>INDEX(products!$A$1:$G$49,MATCH(orders!$D175,products!$A$1:$A$49,0),MATCH(J$1,products!$A$1:$G$1,0))</f>
        <v>M</v>
      </c>
      <c r="K175" s="6">
        <f>INDEX(products!$A$1:$G$49,MATCH(orders!$D175,products!$A$1:$A$49,0),MATCH(K$1,products!$A$1:$G$1,0))</f>
        <v>2.5</v>
      </c>
      <c r="L175" s="7">
        <f>INDEX(products!$A$1:$G$49,MATCH(orders!$D175,products!$A$1:$A$49,0),MATCH(L$1,products!$A$1:$G$1,0))</f>
        <v>22.884999999999998</v>
      </c>
      <c r="M175" s="7">
        <f t="shared" si="6"/>
        <v>91.539999999999992</v>
      </c>
      <c r="N175" t="str">
        <f t="shared" si="7"/>
        <v>Robusta</v>
      </c>
      <c r="O175" t="str">
        <f t="shared" si="8"/>
        <v>Medium</v>
      </c>
      <c r="P175" t="str">
        <f>_xlfn.XLOOKUP(Table1[[#This Row],[Customer ID]],customers!$A$2:$A$1001,customers!$I$2:$I$1001,,0)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INDEX(products!$A$1:$G$49,MATCH(orders!$D176,products!$A$1:$A$49,0),MATCH(I$1,products!$A$1:$G$1,0))</f>
        <v>Exc</v>
      </c>
      <c r="J176" t="str">
        <f>INDEX(products!$A$1:$G$49,MATCH(orders!$D176,products!$A$1:$A$49,0),MATCH(J$1,products!$A$1:$G$1,0))</f>
        <v>L</v>
      </c>
      <c r="K176" s="6">
        <f>INDEX(products!$A$1:$G$49,MATCH(orders!$D176,products!$A$1:$A$49,0),MATCH(K$1,products!$A$1:$G$1,0))</f>
        <v>2.5</v>
      </c>
      <c r="L176" s="7">
        <f>INDEX(products!$A$1:$G$49,MATCH(orders!$D176,products!$A$1:$A$49,0),MATCH(L$1,products!$A$1:$G$1,0))</f>
        <v>34.154999999999994</v>
      </c>
      <c r="M176" s="7">
        <f t="shared" si="6"/>
        <v>204.92999999999995</v>
      </c>
      <c r="N176" t="str">
        <f t="shared" si="7"/>
        <v>Excelsa</v>
      </c>
      <c r="O176" t="str">
        <f t="shared" si="8"/>
        <v>Light</v>
      </c>
      <c r="P176" t="str">
        <f>_xlfn.XLOOKUP(Table1[[#This Row],[Customer ID]],customers!$A$2:$A$1001,customers!$I$2:$I$1001,,0)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INDEX(products!$A$1:$G$49,MATCH(orders!$D177,products!$A$1:$A$49,0),MATCH(I$1,products!$A$1:$G$1,0))</f>
        <v>Exc</v>
      </c>
      <c r="J177" t="str">
        <f>INDEX(products!$A$1:$G$49,MATCH(orders!$D177,products!$A$1:$A$49,0),MATCH(J$1,products!$A$1:$G$1,0))</f>
        <v>M</v>
      </c>
      <c r="K177" s="6">
        <f>INDEX(products!$A$1:$G$49,MATCH(orders!$D177,products!$A$1:$A$49,0),MATCH(K$1,products!$A$1:$G$1,0))</f>
        <v>2.5</v>
      </c>
      <c r="L177" s="7">
        <f>INDEX(products!$A$1:$G$49,MATCH(orders!$D177,products!$A$1:$A$49,0),MATCH(L$1,products!$A$1:$G$1,0))</f>
        <v>31.624999999999996</v>
      </c>
      <c r="M177" s="7">
        <f t="shared" si="6"/>
        <v>63.249999999999993</v>
      </c>
      <c r="N177" t="str">
        <f t="shared" si="7"/>
        <v>Excelsa</v>
      </c>
      <c r="O177" t="str">
        <f t="shared" si="8"/>
        <v>Medium</v>
      </c>
      <c r="P177" t="str">
        <f>_xlfn.XLOOKUP(Table1[[#This Row],[Customer ID]],customers!$A$2:$A$1001,customers!$I$2:$I$1001,,0)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INDEX(products!$A$1:$G$49,MATCH(orders!$D178,products!$A$1:$A$49,0),MATCH(I$1,products!$A$1:$G$1,0))</f>
        <v>Exc</v>
      </c>
      <c r="J178" t="str">
        <f>INDEX(products!$A$1:$G$49,MATCH(orders!$D178,products!$A$1:$A$49,0),MATCH(J$1,products!$A$1:$G$1,0))</f>
        <v>L</v>
      </c>
      <c r="K178" s="6">
        <f>INDEX(products!$A$1:$G$49,MATCH(orders!$D178,products!$A$1:$A$49,0),MATCH(K$1,products!$A$1:$G$1,0))</f>
        <v>2.5</v>
      </c>
      <c r="L178" s="7">
        <f>INDEX(products!$A$1:$G$49,MATCH(orders!$D178,products!$A$1:$A$49,0),MATCH(L$1,products!$A$1:$G$1,0))</f>
        <v>34.154999999999994</v>
      </c>
      <c r="M178" s="7">
        <f t="shared" si="6"/>
        <v>34.154999999999994</v>
      </c>
      <c r="N178" t="str">
        <f t="shared" si="7"/>
        <v>Excelsa</v>
      </c>
      <c r="O178" t="str">
        <f t="shared" si="8"/>
        <v>Light</v>
      </c>
      <c r="P178" t="str">
        <f>_xlfn.XLOOKUP(Table1[[#This Row],[Customer ID]],customers!$A$2:$A$1001,customers!$I$2:$I$1001,,0)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INDEX(products!$A$1:$G$49,MATCH(orders!$D179,products!$A$1:$A$49,0),MATCH(I$1,products!$A$1:$G$1,0))</f>
        <v>Rob</v>
      </c>
      <c r="J179" t="str">
        <f>INDEX(products!$A$1:$G$49,MATCH(orders!$D179,products!$A$1:$A$49,0),MATCH(J$1,products!$A$1:$G$1,0))</f>
        <v>L</v>
      </c>
      <c r="K179" s="6">
        <f>INDEX(products!$A$1:$G$49,MATCH(orders!$D179,products!$A$1:$A$49,0),MATCH(K$1,products!$A$1:$G$1,0))</f>
        <v>2.5</v>
      </c>
      <c r="L179" s="7">
        <f>INDEX(products!$A$1:$G$49,MATCH(orders!$D179,products!$A$1:$A$49,0),MATCH(L$1,products!$A$1:$G$1,0))</f>
        <v>27.484999999999996</v>
      </c>
      <c r="M179" s="7">
        <f t="shared" si="6"/>
        <v>109.93999999999998</v>
      </c>
      <c r="N179" t="str">
        <f t="shared" si="7"/>
        <v>Robusta</v>
      </c>
      <c r="O179" t="str">
        <f t="shared" si="8"/>
        <v>Light</v>
      </c>
      <c r="P179" t="str">
        <f>_xlfn.XLOOKUP(Table1[[#This Row],[Customer ID]],customers!$A$2:$A$1001,customers!$I$2:$I$1001,,0)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INDEX(products!$A$1:$G$49,MATCH(orders!$D180,products!$A$1:$A$49,0),MATCH(I$1,products!$A$1:$G$1,0))</f>
        <v>Ara</v>
      </c>
      <c r="J180" t="str">
        <f>INDEX(products!$A$1:$G$49,MATCH(orders!$D180,products!$A$1:$A$49,0),MATCH(J$1,products!$A$1:$G$1,0))</f>
        <v>L</v>
      </c>
      <c r="K180" s="6">
        <f>INDEX(products!$A$1:$G$49,MATCH(orders!$D180,products!$A$1:$A$49,0),MATCH(K$1,products!$A$1:$G$1,0))</f>
        <v>1</v>
      </c>
      <c r="L180" s="7">
        <f>INDEX(products!$A$1:$G$49,MATCH(orders!$D180,products!$A$1:$A$49,0),MATCH(L$1,products!$A$1:$G$1,0))</f>
        <v>12.95</v>
      </c>
      <c r="M180" s="7">
        <f t="shared" si="6"/>
        <v>25.9</v>
      </c>
      <c r="N180" t="str">
        <f t="shared" si="7"/>
        <v>Arabica</v>
      </c>
      <c r="O180" t="str">
        <f t="shared" si="8"/>
        <v>Light</v>
      </c>
      <c r="P180" t="str">
        <f>_xlfn.XLOOKUP(Table1[[#This Row],[Customer ID]],customers!$A$2:$A$1001,customers!$I$2:$I$1001,,0)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INDEX(products!$A$1:$G$49,MATCH(orders!$D181,products!$A$1:$A$49,0),MATCH(I$1,products!$A$1:$G$1,0))</f>
        <v>Ara</v>
      </c>
      <c r="J181" t="str">
        <f>INDEX(products!$A$1:$G$49,MATCH(orders!$D181,products!$A$1:$A$49,0),MATCH(J$1,products!$A$1:$G$1,0))</f>
        <v>D</v>
      </c>
      <c r="K181" s="6">
        <f>INDEX(products!$A$1:$G$49,MATCH(orders!$D181,products!$A$1:$A$49,0),MATCH(K$1,products!$A$1:$G$1,0))</f>
        <v>0.2</v>
      </c>
      <c r="L181" s="7">
        <f>INDEX(products!$A$1:$G$49,MATCH(orders!$D181,products!$A$1:$A$49,0),MATCH(L$1,products!$A$1:$G$1,0))</f>
        <v>2.9849999999999999</v>
      </c>
      <c r="M181" s="7">
        <f t="shared" si="6"/>
        <v>2.9849999999999999</v>
      </c>
      <c r="N181" t="str">
        <f t="shared" si="7"/>
        <v>Arabica</v>
      </c>
      <c r="O181" t="str">
        <f t="shared" si="8"/>
        <v>Dark</v>
      </c>
      <c r="P181" t="str">
        <f>_xlfn.XLOOKUP(Table1[[#This Row],[Customer ID]],customers!$A$2:$A$1001,customers!$I$2:$I$1001,,0)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INDEX(products!$A$1:$G$49,MATCH(orders!$D182,products!$A$1:$A$49,0),MATCH(I$1,products!$A$1:$G$1,0))</f>
        <v>Exc</v>
      </c>
      <c r="J182" t="str">
        <f>INDEX(products!$A$1:$G$49,MATCH(orders!$D182,products!$A$1:$A$49,0),MATCH(J$1,products!$A$1:$G$1,0))</f>
        <v>L</v>
      </c>
      <c r="K182" s="6">
        <f>INDEX(products!$A$1:$G$49,MATCH(orders!$D182,products!$A$1:$A$49,0),MATCH(K$1,products!$A$1:$G$1,0))</f>
        <v>0.2</v>
      </c>
      <c r="L182" s="7">
        <f>INDEX(products!$A$1:$G$49,MATCH(orders!$D182,products!$A$1:$A$49,0),MATCH(L$1,products!$A$1:$G$1,0))</f>
        <v>4.4550000000000001</v>
      </c>
      <c r="M182" s="7">
        <f t="shared" si="6"/>
        <v>22.274999999999999</v>
      </c>
      <c r="N182" t="str">
        <f t="shared" si="7"/>
        <v>Excelsa</v>
      </c>
      <c r="O182" t="str">
        <f t="shared" si="8"/>
        <v>Light</v>
      </c>
      <c r="P182" t="str">
        <f>_xlfn.XLOOKUP(Table1[[#This Row],[Customer ID]],customers!$A$2:$A$1001,customers!$I$2:$I$1001,,0)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INDEX(products!$A$1:$G$49,MATCH(orders!$D183,products!$A$1:$A$49,0),MATCH(I$1,products!$A$1:$G$1,0))</f>
        <v>Ara</v>
      </c>
      <c r="J183" t="str">
        <f>INDEX(products!$A$1:$G$49,MATCH(orders!$D183,products!$A$1:$A$49,0),MATCH(J$1,products!$A$1:$G$1,0))</f>
        <v>D</v>
      </c>
      <c r="K183" s="6">
        <f>INDEX(products!$A$1:$G$49,MATCH(orders!$D183,products!$A$1:$A$49,0),MATCH(K$1,products!$A$1:$G$1,0))</f>
        <v>0.5</v>
      </c>
      <c r="L183" s="7">
        <f>INDEX(products!$A$1:$G$49,MATCH(orders!$D183,products!$A$1:$A$49,0),MATCH(L$1,products!$A$1:$G$1,0))</f>
        <v>5.97</v>
      </c>
      <c r="M183" s="7">
        <f t="shared" si="6"/>
        <v>29.849999999999998</v>
      </c>
      <c r="N183" t="str">
        <f t="shared" si="7"/>
        <v>Arabica</v>
      </c>
      <c r="O183" t="str">
        <f t="shared" si="8"/>
        <v>Dark</v>
      </c>
      <c r="P183" t="str">
        <f>_xlfn.XLOOKUP(Table1[[#This Row],[Customer ID]],customers!$A$2:$A$1001,customers!$I$2:$I$1001,,0)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INDEX(products!$A$1:$G$49,MATCH(orders!$D184,products!$A$1:$A$49,0),MATCH(I$1,products!$A$1:$G$1,0))</f>
        <v>Rob</v>
      </c>
      <c r="J184" t="str">
        <f>INDEX(products!$A$1:$G$49,MATCH(orders!$D184,products!$A$1:$A$49,0),MATCH(J$1,products!$A$1:$G$1,0))</f>
        <v>D</v>
      </c>
      <c r="K184" s="6">
        <f>INDEX(products!$A$1:$G$49,MATCH(orders!$D184,products!$A$1:$A$49,0),MATCH(K$1,products!$A$1:$G$1,0))</f>
        <v>0.5</v>
      </c>
      <c r="L184" s="7">
        <f>INDEX(products!$A$1:$G$49,MATCH(orders!$D184,products!$A$1:$A$49,0),MATCH(L$1,products!$A$1:$G$1,0))</f>
        <v>5.3699999999999992</v>
      </c>
      <c r="M184" s="7">
        <f t="shared" si="6"/>
        <v>32.22</v>
      </c>
      <c r="N184" t="str">
        <f t="shared" si="7"/>
        <v>Robusta</v>
      </c>
      <c r="O184" t="str">
        <f t="shared" si="8"/>
        <v>Dark</v>
      </c>
      <c r="P184" t="str">
        <f>_xlfn.XLOOKUP(Table1[[#This Row],[Customer ID]],customers!$A$2:$A$1001,customers!$I$2:$I$1001,,0)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INDEX(products!$A$1:$G$49,MATCH(orders!$D185,products!$A$1:$A$49,0),MATCH(I$1,products!$A$1:$G$1,0))</f>
        <v>Exc</v>
      </c>
      <c r="J185" t="str">
        <f>INDEX(products!$A$1:$G$49,MATCH(orders!$D185,products!$A$1:$A$49,0),MATCH(J$1,products!$A$1:$G$1,0))</f>
        <v>M</v>
      </c>
      <c r="K185" s="6">
        <f>INDEX(products!$A$1:$G$49,MATCH(orders!$D185,products!$A$1:$A$49,0),MATCH(K$1,products!$A$1:$G$1,0))</f>
        <v>0.2</v>
      </c>
      <c r="L185" s="7">
        <f>INDEX(products!$A$1:$G$49,MATCH(orders!$D185,products!$A$1:$A$49,0),MATCH(L$1,products!$A$1:$G$1,0))</f>
        <v>4.125</v>
      </c>
      <c r="M185" s="7">
        <f t="shared" si="6"/>
        <v>8.25</v>
      </c>
      <c r="N185" t="str">
        <f t="shared" si="7"/>
        <v>Excelsa</v>
      </c>
      <c r="O185" t="str">
        <f t="shared" si="8"/>
        <v>Medium</v>
      </c>
      <c r="P185" t="str">
        <f>_xlfn.XLOOKUP(Table1[[#This Row],[Customer ID]],customers!$A$2:$A$1001,customers!$I$2:$I$1001,,0)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INDEX(products!$A$1:$G$49,MATCH(orders!$D186,products!$A$1:$A$49,0),MATCH(I$1,products!$A$1:$G$1,0))</f>
        <v>Ara</v>
      </c>
      <c r="J186" t="str">
        <f>INDEX(products!$A$1:$G$49,MATCH(orders!$D186,products!$A$1:$A$49,0),MATCH(J$1,products!$A$1:$G$1,0))</f>
        <v>L</v>
      </c>
      <c r="K186" s="6">
        <f>INDEX(products!$A$1:$G$49,MATCH(orders!$D186,products!$A$1:$A$49,0),MATCH(K$1,products!$A$1:$G$1,0))</f>
        <v>0.5</v>
      </c>
      <c r="L186" s="7">
        <f>INDEX(products!$A$1:$G$49,MATCH(orders!$D186,products!$A$1:$A$49,0),MATCH(L$1,products!$A$1:$G$1,0))</f>
        <v>7.77</v>
      </c>
      <c r="M186" s="7">
        <f t="shared" si="6"/>
        <v>31.08</v>
      </c>
      <c r="N186" t="str">
        <f t="shared" si="7"/>
        <v>Arabica</v>
      </c>
      <c r="O186" t="str">
        <f t="shared" si="8"/>
        <v>Light</v>
      </c>
      <c r="P186" t="str">
        <f>_xlfn.XLOOKUP(Table1[[#This Row],[Customer ID]],customers!$A$2:$A$1001,customers!$I$2:$I$1001,,0)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INDEX(products!$A$1:$G$49,MATCH(orders!$D187,products!$A$1:$A$49,0),MATCH(I$1,products!$A$1:$G$1,0))</f>
        <v>Exc</v>
      </c>
      <c r="J187" t="str">
        <f>INDEX(products!$A$1:$G$49,MATCH(orders!$D187,products!$A$1:$A$49,0),MATCH(J$1,products!$A$1:$G$1,0))</f>
        <v>D</v>
      </c>
      <c r="K187" s="6">
        <f>INDEX(products!$A$1:$G$49,MATCH(orders!$D187,products!$A$1:$A$49,0),MATCH(K$1,products!$A$1:$G$1,0))</f>
        <v>0.5</v>
      </c>
      <c r="L187" s="7">
        <f>INDEX(products!$A$1:$G$49,MATCH(orders!$D187,products!$A$1:$A$49,0),MATCH(L$1,products!$A$1:$G$1,0))</f>
        <v>7.29</v>
      </c>
      <c r="M187" s="7">
        <f t="shared" si="6"/>
        <v>36.450000000000003</v>
      </c>
      <c r="N187" t="str">
        <f t="shared" si="7"/>
        <v>Excelsa</v>
      </c>
      <c r="O187" t="str">
        <f t="shared" si="8"/>
        <v>Dark</v>
      </c>
      <c r="P187" t="str">
        <f>_xlfn.XLOOKUP(Table1[[#This Row],[Customer ID]],customers!$A$2:$A$1001,customers!$I$2:$I$1001,,0)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INDEX(products!$A$1:$G$49,MATCH(orders!$D188,products!$A$1:$A$49,0),MATCH(I$1,products!$A$1:$G$1,0))</f>
        <v>Rob</v>
      </c>
      <c r="J188" t="str">
        <f>INDEX(products!$A$1:$G$49,MATCH(orders!$D188,products!$A$1:$A$49,0),MATCH(J$1,products!$A$1:$G$1,0))</f>
        <v>M</v>
      </c>
      <c r="K188" s="6">
        <f>INDEX(products!$A$1:$G$49,MATCH(orders!$D188,products!$A$1:$A$49,0),MATCH(K$1,products!$A$1:$G$1,0))</f>
        <v>2.5</v>
      </c>
      <c r="L188" s="7">
        <f>INDEX(products!$A$1:$G$49,MATCH(orders!$D188,products!$A$1:$A$49,0),MATCH(L$1,products!$A$1:$G$1,0))</f>
        <v>22.884999999999998</v>
      </c>
      <c r="M188" s="7">
        <f t="shared" si="6"/>
        <v>68.655000000000001</v>
      </c>
      <c r="N188" t="str">
        <f t="shared" si="7"/>
        <v>Robusta</v>
      </c>
      <c r="O188" t="str">
        <f t="shared" si="8"/>
        <v>Medium</v>
      </c>
      <c r="P188" t="str">
        <f>_xlfn.XLOOKUP(Table1[[#This Row],[Customer ID]],customers!$A$2:$A$1001,customers!$I$2:$I$1001,,0)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INDEX(products!$A$1:$G$49,MATCH(orders!$D189,products!$A$1:$A$49,0),MATCH(I$1,products!$A$1:$G$1,0))</f>
        <v>Lib</v>
      </c>
      <c r="J189" t="str">
        <f>INDEX(products!$A$1:$G$49,MATCH(orders!$D189,products!$A$1:$A$49,0),MATCH(J$1,products!$A$1:$G$1,0))</f>
        <v>M</v>
      </c>
      <c r="K189" s="6">
        <f>INDEX(products!$A$1:$G$49,MATCH(orders!$D189,products!$A$1:$A$49,0),MATCH(K$1,products!$A$1:$G$1,0))</f>
        <v>0.5</v>
      </c>
      <c r="L189" s="7">
        <f>INDEX(products!$A$1:$G$49,MATCH(orders!$D189,products!$A$1:$A$49,0),MATCH(L$1,products!$A$1:$G$1,0))</f>
        <v>8.73</v>
      </c>
      <c r="M189" s="7">
        <f t="shared" si="6"/>
        <v>43.650000000000006</v>
      </c>
      <c r="N189" t="str">
        <f t="shared" si="7"/>
        <v>Liberica</v>
      </c>
      <c r="O189" t="str">
        <f t="shared" si="8"/>
        <v>Medium</v>
      </c>
      <c r="P189" t="str">
        <f>_xlfn.XLOOKUP(Table1[[#This Row],[Customer ID]],customers!$A$2:$A$1001,customers!$I$2:$I$1001,,0)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INDEX(products!$A$1:$G$49,MATCH(orders!$D190,products!$A$1:$A$49,0),MATCH(I$1,products!$A$1:$G$1,0))</f>
        <v>Exc</v>
      </c>
      <c r="J190" t="str">
        <f>INDEX(products!$A$1:$G$49,MATCH(orders!$D190,products!$A$1:$A$49,0),MATCH(J$1,products!$A$1:$G$1,0))</f>
        <v>L</v>
      </c>
      <c r="K190" s="6">
        <f>INDEX(products!$A$1:$G$49,MATCH(orders!$D190,products!$A$1:$A$49,0),MATCH(K$1,products!$A$1:$G$1,0))</f>
        <v>0.2</v>
      </c>
      <c r="L190" s="7">
        <f>INDEX(products!$A$1:$G$49,MATCH(orders!$D190,products!$A$1:$A$49,0),MATCH(L$1,products!$A$1:$G$1,0))</f>
        <v>4.4550000000000001</v>
      </c>
      <c r="M190" s="7">
        <f t="shared" si="6"/>
        <v>4.4550000000000001</v>
      </c>
      <c r="N190" t="str">
        <f t="shared" si="7"/>
        <v>Excelsa</v>
      </c>
      <c r="O190" t="str">
        <f t="shared" si="8"/>
        <v>Light</v>
      </c>
      <c r="P190" t="str">
        <f>_xlfn.XLOOKUP(Table1[[#This Row],[Customer ID]],customers!$A$2:$A$1001,customers!$I$2:$I$1001,,0)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INDEX(products!$A$1:$G$49,MATCH(orders!$D191,products!$A$1:$A$49,0),MATCH(I$1,products!$A$1:$G$1,0))</f>
        <v>Lib</v>
      </c>
      <c r="J191" t="str">
        <f>INDEX(products!$A$1:$G$49,MATCH(orders!$D191,products!$A$1:$A$49,0),MATCH(J$1,products!$A$1:$G$1,0))</f>
        <v>M</v>
      </c>
      <c r="K191" s="6">
        <f>INDEX(products!$A$1:$G$49,MATCH(orders!$D191,products!$A$1:$A$49,0),MATCH(K$1,products!$A$1:$G$1,0))</f>
        <v>1</v>
      </c>
      <c r="L191" s="7">
        <f>INDEX(products!$A$1:$G$49,MATCH(orders!$D191,products!$A$1:$A$49,0),MATCH(L$1,products!$A$1:$G$1,0))</f>
        <v>14.55</v>
      </c>
      <c r="M191" s="7">
        <f t="shared" si="6"/>
        <v>43.650000000000006</v>
      </c>
      <c r="N191" t="str">
        <f t="shared" si="7"/>
        <v>Liberica</v>
      </c>
      <c r="O191" t="str">
        <f t="shared" si="8"/>
        <v>Medium</v>
      </c>
      <c r="P191" t="str">
        <f>_xlfn.XLOOKUP(Table1[[#This Row],[Customer ID]],customers!$A$2:$A$1001,customers!$I$2:$I$1001,,0)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INDEX(products!$A$1:$G$49,MATCH(orders!$D192,products!$A$1:$A$49,0),MATCH(I$1,products!$A$1:$G$1,0))</f>
        <v>Lib</v>
      </c>
      <c r="J192" t="str">
        <f>INDEX(products!$A$1:$G$49,MATCH(orders!$D192,products!$A$1:$A$49,0),MATCH(J$1,products!$A$1:$G$1,0))</f>
        <v>M</v>
      </c>
      <c r="K192" s="6">
        <f>INDEX(products!$A$1:$G$49,MATCH(orders!$D192,products!$A$1:$A$49,0),MATCH(K$1,products!$A$1:$G$1,0))</f>
        <v>2.5</v>
      </c>
      <c r="L192" s="7">
        <f>INDEX(products!$A$1:$G$49,MATCH(orders!$D192,products!$A$1:$A$49,0),MATCH(L$1,products!$A$1:$G$1,0))</f>
        <v>33.464999999999996</v>
      </c>
      <c r="M192" s="7">
        <f t="shared" si="6"/>
        <v>33.464999999999996</v>
      </c>
      <c r="N192" t="str">
        <f t="shared" si="7"/>
        <v>Liberica</v>
      </c>
      <c r="O192" t="str">
        <f t="shared" si="8"/>
        <v>Medium</v>
      </c>
      <c r="P192" t="str">
        <f>_xlfn.XLOOKUP(Table1[[#This Row],[Customer ID]],customers!$A$2:$A$1001,customers!$I$2:$I$1001,,0)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INDEX(products!$A$1:$G$49,MATCH(orders!$D193,products!$A$1:$A$49,0),MATCH(I$1,products!$A$1:$G$1,0))</f>
        <v>Lib</v>
      </c>
      <c r="J193" t="str">
        <f>INDEX(products!$A$1:$G$49,MATCH(orders!$D193,products!$A$1:$A$49,0),MATCH(J$1,products!$A$1:$G$1,0))</f>
        <v>D</v>
      </c>
      <c r="K193" s="6">
        <f>INDEX(products!$A$1:$G$49,MATCH(orders!$D193,products!$A$1:$A$49,0),MATCH(K$1,products!$A$1:$G$1,0))</f>
        <v>0.2</v>
      </c>
      <c r="L193" s="7">
        <f>INDEX(products!$A$1:$G$49,MATCH(orders!$D193,products!$A$1:$A$49,0),MATCH(L$1,products!$A$1:$G$1,0))</f>
        <v>3.8849999999999998</v>
      </c>
      <c r="M193" s="7">
        <f t="shared" si="6"/>
        <v>19.424999999999997</v>
      </c>
      <c r="N193" t="str">
        <f t="shared" si="7"/>
        <v>Liberica</v>
      </c>
      <c r="O193" t="str">
        <f t="shared" si="8"/>
        <v>Dark</v>
      </c>
      <c r="P193" t="str">
        <f>_xlfn.XLOOKUP(Table1[[#This Row],[Customer ID]],customers!$A$2:$A$1001,customers!$I$2:$I$1001,,0)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INDEX(products!$A$1:$G$49,MATCH(orders!$D194,products!$A$1:$A$49,0),MATCH(I$1,products!$A$1:$G$1,0))</f>
        <v>Exc</v>
      </c>
      <c r="J194" t="str">
        <f>INDEX(products!$A$1:$G$49,MATCH(orders!$D194,products!$A$1:$A$49,0),MATCH(J$1,products!$A$1:$G$1,0))</f>
        <v>D</v>
      </c>
      <c r="K194" s="6">
        <f>INDEX(products!$A$1:$G$49,MATCH(orders!$D194,products!$A$1:$A$49,0),MATCH(K$1,products!$A$1:$G$1,0))</f>
        <v>1</v>
      </c>
      <c r="L194" s="7">
        <f>INDEX(products!$A$1:$G$49,MATCH(orders!$D194,products!$A$1:$A$49,0),MATCH(L$1,products!$A$1:$G$1,0))</f>
        <v>12.15</v>
      </c>
      <c r="M194" s="7">
        <f t="shared" si="6"/>
        <v>72.900000000000006</v>
      </c>
      <c r="N194" t="str">
        <f t="shared" si="7"/>
        <v>Excelsa</v>
      </c>
      <c r="O194" t="str">
        <f t="shared" si="8"/>
        <v>Dark</v>
      </c>
      <c r="P194" t="str">
        <f>_xlfn.XLOOKUP(Table1[[#This Row],[Customer ID]],customers!$A$2:$A$1001,customers!$I$2:$I$1001,,0)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INDEX(products!$A$1:$G$49,MATCH(orders!$D195,products!$A$1:$A$49,0),MATCH(I$1,products!$A$1:$G$1,0))</f>
        <v>Exc</v>
      </c>
      <c r="J195" t="str">
        <f>INDEX(products!$A$1:$G$49,MATCH(orders!$D195,products!$A$1:$A$49,0),MATCH(J$1,products!$A$1:$G$1,0))</f>
        <v>L</v>
      </c>
      <c r="K195" s="6">
        <f>INDEX(products!$A$1:$G$49,MATCH(orders!$D195,products!$A$1:$A$49,0),MATCH(K$1,products!$A$1:$G$1,0))</f>
        <v>1</v>
      </c>
      <c r="L195" s="7">
        <f>INDEX(products!$A$1:$G$49,MATCH(orders!$D195,products!$A$1:$A$49,0),MATCH(L$1,products!$A$1:$G$1,0))</f>
        <v>14.85</v>
      </c>
      <c r="M195" s="7">
        <f t="shared" ref="M195:M258" si="9">L195*E195</f>
        <v>44.55</v>
      </c>
      <c r="N195" t="str">
        <f t="shared" ref="N195:N258" si="10">IF(I195="Rob","Robusta",IF(I195="Exc","Excelsa",IF(I195="Ara","Arabica",IF(I195="Lib","Liberica",""))))</f>
        <v>Excelsa</v>
      </c>
      <c r="O195" t="str">
        <f t="shared" ref="O195:O258" si="11">IF(J195="M","Medium",IF(J195="L","Light",IF(J195="D","Dark","")))</f>
        <v>Light</v>
      </c>
      <c r="P195" t="str">
        <f>_xlfn.XLOOKUP(Table1[[#This Row],[Customer ID]],customers!$A$2:$A$1001,customers!$I$2:$I$1001,,0)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INDEX(products!$A$1:$G$49,MATCH(orders!$D196,products!$A$1:$A$49,0),MATCH(I$1,products!$A$1:$G$1,0))</f>
        <v>Exc</v>
      </c>
      <c r="J196" t="str">
        <f>INDEX(products!$A$1:$G$49,MATCH(orders!$D196,products!$A$1:$A$49,0),MATCH(J$1,products!$A$1:$G$1,0))</f>
        <v>D</v>
      </c>
      <c r="K196" s="6">
        <f>INDEX(products!$A$1:$G$49,MATCH(orders!$D196,products!$A$1:$A$49,0),MATCH(K$1,products!$A$1:$G$1,0))</f>
        <v>0.5</v>
      </c>
      <c r="L196" s="7">
        <f>INDEX(products!$A$1:$G$49,MATCH(orders!$D196,products!$A$1:$A$49,0),MATCH(L$1,products!$A$1:$G$1,0))</f>
        <v>7.29</v>
      </c>
      <c r="M196" s="7">
        <f t="shared" si="9"/>
        <v>36.450000000000003</v>
      </c>
      <c r="N196" t="str">
        <f t="shared" si="10"/>
        <v>Excelsa</v>
      </c>
      <c r="O196" t="str">
        <f t="shared" si="11"/>
        <v>Dark</v>
      </c>
      <c r="P196" t="str">
        <f>_xlfn.XLOOKUP(Table1[[#This Row],[Customer ID]],customers!$A$2:$A$1001,customers!$I$2:$I$1001,,0)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INDEX(products!$A$1:$G$49,MATCH(orders!$D197,products!$A$1:$A$49,0),MATCH(I$1,products!$A$1:$G$1,0))</f>
        <v>Ara</v>
      </c>
      <c r="J197" t="str">
        <f>INDEX(products!$A$1:$G$49,MATCH(orders!$D197,products!$A$1:$A$49,0),MATCH(J$1,products!$A$1:$G$1,0))</f>
        <v>L</v>
      </c>
      <c r="K197" s="6">
        <f>INDEX(products!$A$1:$G$49,MATCH(orders!$D197,products!$A$1:$A$49,0),MATCH(K$1,products!$A$1:$G$1,0))</f>
        <v>1</v>
      </c>
      <c r="L197" s="7">
        <f>INDEX(products!$A$1:$G$49,MATCH(orders!$D197,products!$A$1:$A$49,0),MATCH(L$1,products!$A$1:$G$1,0))</f>
        <v>12.95</v>
      </c>
      <c r="M197" s="7">
        <f t="shared" si="9"/>
        <v>38.849999999999994</v>
      </c>
      <c r="N197" t="str">
        <f t="shared" si="10"/>
        <v>Arabica</v>
      </c>
      <c r="O197" t="str">
        <f t="shared" si="11"/>
        <v>Light</v>
      </c>
      <c r="P197" t="str">
        <f>_xlfn.XLOOKUP(Table1[[#This Row],[Customer ID]],customers!$A$2:$A$1001,customers!$I$2:$I$1001,,0)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INDEX(products!$A$1:$G$49,MATCH(orders!$D198,products!$A$1:$A$49,0),MATCH(I$1,products!$A$1:$G$1,0))</f>
        <v>Exc</v>
      </c>
      <c r="J198" t="str">
        <f>INDEX(products!$A$1:$G$49,MATCH(orders!$D198,products!$A$1:$A$49,0),MATCH(J$1,products!$A$1:$G$1,0))</f>
        <v>L</v>
      </c>
      <c r="K198" s="6">
        <f>INDEX(products!$A$1:$G$49,MATCH(orders!$D198,products!$A$1:$A$49,0),MATCH(K$1,products!$A$1:$G$1,0))</f>
        <v>0.5</v>
      </c>
      <c r="L198" s="7">
        <f>INDEX(products!$A$1:$G$49,MATCH(orders!$D198,products!$A$1:$A$49,0),MATCH(L$1,products!$A$1:$G$1,0))</f>
        <v>8.91</v>
      </c>
      <c r="M198" s="7">
        <f t="shared" si="9"/>
        <v>53.46</v>
      </c>
      <c r="N198" t="str">
        <f t="shared" si="10"/>
        <v>Excelsa</v>
      </c>
      <c r="O198" t="str">
        <f t="shared" si="11"/>
        <v>Light</v>
      </c>
      <c r="P198" t="str">
        <f>_xlfn.XLOOKUP(Table1[[#This Row],[Customer ID]],customers!$A$2:$A$1001,customers!$I$2:$I$1001,,0)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INDEX(products!$A$1:$G$49,MATCH(orders!$D199,products!$A$1:$A$49,0),MATCH(I$1,products!$A$1:$G$1,0))</f>
        <v>Lib</v>
      </c>
      <c r="J199" t="str">
        <f>INDEX(products!$A$1:$G$49,MATCH(orders!$D199,products!$A$1:$A$49,0),MATCH(J$1,products!$A$1:$G$1,0))</f>
        <v>D</v>
      </c>
      <c r="K199" s="6">
        <f>INDEX(products!$A$1:$G$49,MATCH(orders!$D199,products!$A$1:$A$49,0),MATCH(K$1,products!$A$1:$G$1,0))</f>
        <v>2.5</v>
      </c>
      <c r="L199" s="7">
        <f>INDEX(products!$A$1:$G$49,MATCH(orders!$D199,products!$A$1:$A$49,0),MATCH(L$1,products!$A$1:$G$1,0))</f>
        <v>29.784999999999997</v>
      </c>
      <c r="M199" s="7">
        <f t="shared" si="9"/>
        <v>59.569999999999993</v>
      </c>
      <c r="N199" t="str">
        <f t="shared" si="10"/>
        <v>Liberica</v>
      </c>
      <c r="O199" t="str">
        <f t="shared" si="11"/>
        <v>Dark</v>
      </c>
      <c r="P199" t="str">
        <f>_xlfn.XLOOKUP(Table1[[#This Row],[Customer ID]],customers!$A$2:$A$1001,customers!$I$2:$I$1001,,0)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INDEX(products!$A$1:$G$49,MATCH(orders!$D200,products!$A$1:$A$49,0),MATCH(I$1,products!$A$1:$G$1,0))</f>
        <v>Lib</v>
      </c>
      <c r="J200" t="str">
        <f>INDEX(products!$A$1:$G$49,MATCH(orders!$D200,products!$A$1:$A$49,0),MATCH(J$1,products!$A$1:$G$1,0))</f>
        <v>D</v>
      </c>
      <c r="K200" s="6">
        <f>INDEX(products!$A$1:$G$49,MATCH(orders!$D200,products!$A$1:$A$49,0),MATCH(K$1,products!$A$1:$G$1,0))</f>
        <v>2.5</v>
      </c>
      <c r="L200" s="7">
        <f>INDEX(products!$A$1:$G$49,MATCH(orders!$D200,products!$A$1:$A$49,0),MATCH(L$1,products!$A$1:$G$1,0))</f>
        <v>29.784999999999997</v>
      </c>
      <c r="M200" s="7">
        <f t="shared" si="9"/>
        <v>89.35499999999999</v>
      </c>
      <c r="N200" t="str">
        <f t="shared" si="10"/>
        <v>Liberica</v>
      </c>
      <c r="O200" t="str">
        <f t="shared" si="11"/>
        <v>Dark</v>
      </c>
      <c r="P200" t="str">
        <f>_xlfn.XLOOKUP(Table1[[#This Row],[Customer ID]],customers!$A$2:$A$1001,customers!$I$2:$I$1001,,0)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INDEX(products!$A$1:$G$49,MATCH(orders!$D201,products!$A$1:$A$49,0),MATCH(I$1,products!$A$1:$G$1,0))</f>
        <v>Lib</v>
      </c>
      <c r="J201" t="str">
        <f>INDEX(products!$A$1:$G$49,MATCH(orders!$D201,products!$A$1:$A$49,0),MATCH(J$1,products!$A$1:$G$1,0))</f>
        <v>L</v>
      </c>
      <c r="K201" s="6">
        <f>INDEX(products!$A$1:$G$49,MATCH(orders!$D201,products!$A$1:$A$49,0),MATCH(K$1,products!$A$1:$G$1,0))</f>
        <v>0.5</v>
      </c>
      <c r="L201" s="7">
        <f>INDEX(products!$A$1:$G$49,MATCH(orders!$D201,products!$A$1:$A$49,0),MATCH(L$1,products!$A$1:$G$1,0))</f>
        <v>9.51</v>
      </c>
      <c r="M201" s="7">
        <f t="shared" si="9"/>
        <v>38.04</v>
      </c>
      <c r="N201" t="str">
        <f t="shared" si="10"/>
        <v>Liberica</v>
      </c>
      <c r="O201" t="str">
        <f t="shared" si="11"/>
        <v>Light</v>
      </c>
      <c r="P201" t="str">
        <f>_xlfn.XLOOKUP(Table1[[#This Row],[Customer ID]],customers!$A$2:$A$1001,customers!$I$2:$I$1001,,0)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INDEX(products!$A$1:$G$49,MATCH(orders!$D202,products!$A$1:$A$49,0),MATCH(I$1,products!$A$1:$G$1,0))</f>
        <v>Exc</v>
      </c>
      <c r="J202" t="str">
        <f>INDEX(products!$A$1:$G$49,MATCH(orders!$D202,products!$A$1:$A$49,0),MATCH(J$1,products!$A$1:$G$1,0))</f>
        <v>M</v>
      </c>
      <c r="K202" s="6">
        <f>INDEX(products!$A$1:$G$49,MATCH(orders!$D202,products!$A$1:$A$49,0),MATCH(K$1,products!$A$1:$G$1,0))</f>
        <v>1</v>
      </c>
      <c r="L202" s="7">
        <f>INDEX(products!$A$1:$G$49,MATCH(orders!$D202,products!$A$1:$A$49,0),MATCH(L$1,products!$A$1:$G$1,0))</f>
        <v>13.75</v>
      </c>
      <c r="M202" s="7">
        <f t="shared" si="9"/>
        <v>41.25</v>
      </c>
      <c r="N202" t="str">
        <f t="shared" si="10"/>
        <v>Excelsa</v>
      </c>
      <c r="O202" t="str">
        <f t="shared" si="11"/>
        <v>Medium</v>
      </c>
      <c r="P202" t="str">
        <f>_xlfn.XLOOKUP(Table1[[#This Row],[Customer ID]],customers!$A$2:$A$1001,customers!$I$2:$I$1001,,0)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INDEX(products!$A$1:$G$49,MATCH(orders!$D203,products!$A$1:$A$49,0),MATCH(I$1,products!$A$1:$G$1,0))</f>
        <v>Lib</v>
      </c>
      <c r="J203" t="str">
        <f>INDEX(products!$A$1:$G$49,MATCH(orders!$D203,products!$A$1:$A$49,0),MATCH(J$1,products!$A$1:$G$1,0))</f>
        <v>L</v>
      </c>
      <c r="K203" s="6">
        <f>INDEX(products!$A$1:$G$49,MATCH(orders!$D203,products!$A$1:$A$49,0),MATCH(K$1,products!$A$1:$G$1,0))</f>
        <v>0.5</v>
      </c>
      <c r="L203" s="7">
        <f>INDEX(products!$A$1:$G$49,MATCH(orders!$D203,products!$A$1:$A$49,0),MATCH(L$1,products!$A$1:$G$1,0))</f>
        <v>9.51</v>
      </c>
      <c r="M203" s="7">
        <f t="shared" si="9"/>
        <v>57.06</v>
      </c>
      <c r="N203" t="str">
        <f t="shared" si="10"/>
        <v>Liberica</v>
      </c>
      <c r="O203" t="str">
        <f t="shared" si="11"/>
        <v>Light</v>
      </c>
      <c r="P203" t="str">
        <f>_xlfn.XLOOKUP(Table1[[#This Row],[Customer ID]],customers!$A$2:$A$1001,customers!$I$2:$I$1001,,0)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INDEX(products!$A$1:$G$49,MATCH(orders!$D204,products!$A$1:$A$49,0),MATCH(I$1,products!$A$1:$G$1,0))</f>
        <v>Lib</v>
      </c>
      <c r="J204" t="str">
        <f>INDEX(products!$A$1:$G$49,MATCH(orders!$D204,products!$A$1:$A$49,0),MATCH(J$1,products!$A$1:$G$1,0))</f>
        <v>D</v>
      </c>
      <c r="K204" s="6">
        <f>INDEX(products!$A$1:$G$49,MATCH(orders!$D204,products!$A$1:$A$49,0),MATCH(K$1,products!$A$1:$G$1,0))</f>
        <v>2.5</v>
      </c>
      <c r="L204" s="7">
        <f>INDEX(products!$A$1:$G$49,MATCH(orders!$D204,products!$A$1:$A$49,0),MATCH(L$1,products!$A$1:$G$1,0))</f>
        <v>29.784999999999997</v>
      </c>
      <c r="M204" s="7">
        <f t="shared" si="9"/>
        <v>178.70999999999998</v>
      </c>
      <c r="N204" t="str">
        <f t="shared" si="10"/>
        <v>Liberica</v>
      </c>
      <c r="O204" t="str">
        <f t="shared" si="11"/>
        <v>Dark</v>
      </c>
      <c r="P204" t="str">
        <f>_xlfn.XLOOKUP(Table1[[#This Row],[Customer ID]],customers!$A$2:$A$1001,customers!$I$2:$I$1001,,0)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INDEX(products!$A$1:$G$49,MATCH(orders!$D205,products!$A$1:$A$49,0),MATCH(I$1,products!$A$1:$G$1,0))</f>
        <v>Lib</v>
      </c>
      <c r="J205" t="str">
        <f>INDEX(products!$A$1:$G$49,MATCH(orders!$D205,products!$A$1:$A$49,0),MATCH(J$1,products!$A$1:$G$1,0))</f>
        <v>L</v>
      </c>
      <c r="K205" s="6">
        <f>INDEX(products!$A$1:$G$49,MATCH(orders!$D205,products!$A$1:$A$49,0),MATCH(K$1,products!$A$1:$G$1,0))</f>
        <v>0.2</v>
      </c>
      <c r="L205" s="7">
        <f>INDEX(products!$A$1:$G$49,MATCH(orders!$D205,products!$A$1:$A$49,0),MATCH(L$1,products!$A$1:$G$1,0))</f>
        <v>4.7549999999999999</v>
      </c>
      <c r="M205" s="7">
        <f t="shared" si="9"/>
        <v>4.7549999999999999</v>
      </c>
      <c r="N205" t="str">
        <f t="shared" si="10"/>
        <v>Liberica</v>
      </c>
      <c r="O205" t="str">
        <f t="shared" si="11"/>
        <v>Light</v>
      </c>
      <c r="P205" t="str">
        <f>_xlfn.XLOOKUP(Table1[[#This Row],[Customer ID]],customers!$A$2:$A$1001,customers!$I$2:$I$1001,,0)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INDEX(products!$A$1:$G$49,MATCH(orders!$D206,products!$A$1:$A$49,0),MATCH(I$1,products!$A$1:$G$1,0))</f>
        <v>Exc</v>
      </c>
      <c r="J206" t="str">
        <f>INDEX(products!$A$1:$G$49,MATCH(orders!$D206,products!$A$1:$A$49,0),MATCH(J$1,products!$A$1:$G$1,0))</f>
        <v>M</v>
      </c>
      <c r="K206" s="6">
        <f>INDEX(products!$A$1:$G$49,MATCH(orders!$D206,products!$A$1:$A$49,0),MATCH(K$1,products!$A$1:$G$1,0))</f>
        <v>1</v>
      </c>
      <c r="L206" s="7">
        <f>INDEX(products!$A$1:$G$49,MATCH(orders!$D206,products!$A$1:$A$49,0),MATCH(L$1,products!$A$1:$G$1,0))</f>
        <v>13.75</v>
      </c>
      <c r="M206" s="7">
        <f t="shared" si="9"/>
        <v>82.5</v>
      </c>
      <c r="N206" t="str">
        <f t="shared" si="10"/>
        <v>Excelsa</v>
      </c>
      <c r="O206" t="str">
        <f t="shared" si="11"/>
        <v>Medium</v>
      </c>
      <c r="P206" t="str">
        <f>_xlfn.XLOOKUP(Table1[[#This Row],[Customer ID]],customers!$A$2:$A$1001,customers!$I$2:$I$1001,,0)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INDEX(products!$A$1:$G$49,MATCH(orders!$D207,products!$A$1:$A$49,0),MATCH(I$1,products!$A$1:$G$1,0))</f>
        <v>Rob</v>
      </c>
      <c r="J207" t="str">
        <f>INDEX(products!$A$1:$G$49,MATCH(orders!$D207,products!$A$1:$A$49,0),MATCH(J$1,products!$A$1:$G$1,0))</f>
        <v>D</v>
      </c>
      <c r="K207" s="6">
        <f>INDEX(products!$A$1:$G$49,MATCH(orders!$D207,products!$A$1:$A$49,0),MATCH(K$1,products!$A$1:$G$1,0))</f>
        <v>0.2</v>
      </c>
      <c r="L207" s="7">
        <f>INDEX(products!$A$1:$G$49,MATCH(orders!$D207,products!$A$1:$A$49,0),MATCH(L$1,products!$A$1:$G$1,0))</f>
        <v>2.6849999999999996</v>
      </c>
      <c r="M207" s="7">
        <f t="shared" si="9"/>
        <v>8.0549999999999997</v>
      </c>
      <c r="N207" t="str">
        <f t="shared" si="10"/>
        <v>Robusta</v>
      </c>
      <c r="O207" t="str">
        <f t="shared" si="11"/>
        <v>Dark</v>
      </c>
      <c r="P207" t="str">
        <f>_xlfn.XLOOKUP(Table1[[#This Row],[Customer ID]],customers!$A$2:$A$1001,customers!$I$2:$I$1001,,0)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INDEX(products!$A$1:$G$49,MATCH(orders!$D208,products!$A$1:$A$49,0),MATCH(I$1,products!$A$1:$G$1,0))</f>
        <v>Ara</v>
      </c>
      <c r="J208" t="str">
        <f>INDEX(products!$A$1:$G$49,MATCH(orders!$D208,products!$A$1:$A$49,0),MATCH(J$1,products!$A$1:$G$1,0))</f>
        <v>M</v>
      </c>
      <c r="K208" s="6">
        <f>INDEX(products!$A$1:$G$49,MATCH(orders!$D208,products!$A$1:$A$49,0),MATCH(K$1,products!$A$1:$G$1,0))</f>
        <v>1</v>
      </c>
      <c r="L208" s="7">
        <f>INDEX(products!$A$1:$G$49,MATCH(orders!$D208,products!$A$1:$A$49,0),MATCH(L$1,products!$A$1:$G$1,0))</f>
        <v>11.25</v>
      </c>
      <c r="M208" s="7">
        <f t="shared" si="9"/>
        <v>22.5</v>
      </c>
      <c r="N208" t="str">
        <f t="shared" si="10"/>
        <v>Arabica</v>
      </c>
      <c r="O208" t="str">
        <f t="shared" si="11"/>
        <v>Medium</v>
      </c>
      <c r="P208" t="str">
        <f>_xlfn.XLOOKUP(Table1[[#This Row],[Customer ID]],customers!$A$2:$A$1001,customers!$I$2:$I$1001,,0)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INDEX(products!$A$1:$G$49,MATCH(orders!$D209,products!$A$1:$A$49,0),MATCH(I$1,products!$A$1:$G$1,0))</f>
        <v>Ara</v>
      </c>
      <c r="J209" t="str">
        <f>INDEX(products!$A$1:$G$49,MATCH(orders!$D209,products!$A$1:$A$49,0),MATCH(J$1,products!$A$1:$G$1,0))</f>
        <v>M</v>
      </c>
      <c r="K209" s="6">
        <f>INDEX(products!$A$1:$G$49,MATCH(orders!$D209,products!$A$1:$A$49,0),MATCH(K$1,products!$A$1:$G$1,0))</f>
        <v>0.5</v>
      </c>
      <c r="L209" s="7">
        <f>INDEX(products!$A$1:$G$49,MATCH(orders!$D209,products!$A$1:$A$49,0),MATCH(L$1,products!$A$1:$G$1,0))</f>
        <v>6.75</v>
      </c>
      <c r="M209" s="7">
        <f t="shared" si="9"/>
        <v>40.5</v>
      </c>
      <c r="N209" t="str">
        <f t="shared" si="10"/>
        <v>Arabica</v>
      </c>
      <c r="O209" t="str">
        <f t="shared" si="11"/>
        <v>Medium</v>
      </c>
      <c r="P209" t="str">
        <f>_xlfn.XLOOKUP(Table1[[#This Row],[Customer ID]],customers!$A$2:$A$1001,customers!$I$2:$I$1001,,0)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INDEX(products!$A$1:$G$49,MATCH(orders!$D210,products!$A$1:$A$49,0),MATCH(I$1,products!$A$1:$G$1,0))</f>
        <v>Exc</v>
      </c>
      <c r="J210" t="str">
        <f>INDEX(products!$A$1:$G$49,MATCH(orders!$D210,products!$A$1:$A$49,0),MATCH(J$1,products!$A$1:$G$1,0))</f>
        <v>D</v>
      </c>
      <c r="K210" s="6">
        <f>INDEX(products!$A$1:$G$49,MATCH(orders!$D210,products!$A$1:$A$49,0),MATCH(K$1,products!$A$1:$G$1,0))</f>
        <v>0.5</v>
      </c>
      <c r="L210" s="7">
        <f>INDEX(products!$A$1:$G$49,MATCH(orders!$D210,products!$A$1:$A$49,0),MATCH(L$1,products!$A$1:$G$1,0))</f>
        <v>7.29</v>
      </c>
      <c r="M210" s="7">
        <f t="shared" si="9"/>
        <v>29.16</v>
      </c>
      <c r="N210" t="str">
        <f t="shared" si="10"/>
        <v>Excelsa</v>
      </c>
      <c r="O210" t="str">
        <f t="shared" si="11"/>
        <v>Dark</v>
      </c>
      <c r="P210" t="str">
        <f>_xlfn.XLOOKUP(Table1[[#This Row],[Customer ID]],customers!$A$2:$A$1001,customers!$I$2:$I$1001,,0)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INDEX(products!$A$1:$G$49,MATCH(orders!$D211,products!$A$1:$A$49,0),MATCH(I$1,products!$A$1:$G$1,0))</f>
        <v>Ara</v>
      </c>
      <c r="J211" t="str">
        <f>INDEX(products!$A$1:$G$49,MATCH(orders!$D211,products!$A$1:$A$49,0),MATCH(J$1,products!$A$1:$G$1,0))</f>
        <v>M</v>
      </c>
      <c r="K211" s="6">
        <f>INDEX(products!$A$1:$G$49,MATCH(orders!$D211,products!$A$1:$A$49,0),MATCH(K$1,products!$A$1:$G$1,0))</f>
        <v>0.5</v>
      </c>
      <c r="L211" s="7">
        <f>INDEX(products!$A$1:$G$49,MATCH(orders!$D211,products!$A$1:$A$49,0),MATCH(L$1,products!$A$1:$G$1,0))</f>
        <v>6.75</v>
      </c>
      <c r="M211" s="7">
        <f t="shared" si="9"/>
        <v>6.75</v>
      </c>
      <c r="N211" t="str">
        <f t="shared" si="10"/>
        <v>Arabica</v>
      </c>
      <c r="O211" t="str">
        <f t="shared" si="11"/>
        <v>Medium</v>
      </c>
      <c r="P211" t="str">
        <f>_xlfn.XLOOKUP(Table1[[#This Row],[Customer ID]],customers!$A$2:$A$1001,customers!$I$2:$I$1001,,0)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INDEX(products!$A$1:$G$49,MATCH(orders!$D212,products!$A$1:$A$49,0),MATCH(I$1,products!$A$1:$G$1,0))</f>
        <v>Lib</v>
      </c>
      <c r="J212" t="str">
        <f>INDEX(products!$A$1:$G$49,MATCH(orders!$D212,products!$A$1:$A$49,0),MATCH(J$1,products!$A$1:$G$1,0))</f>
        <v>D</v>
      </c>
      <c r="K212" s="6">
        <f>INDEX(products!$A$1:$G$49,MATCH(orders!$D212,products!$A$1:$A$49,0),MATCH(K$1,products!$A$1:$G$1,0))</f>
        <v>1</v>
      </c>
      <c r="L212" s="7">
        <f>INDEX(products!$A$1:$G$49,MATCH(orders!$D212,products!$A$1:$A$49,0),MATCH(L$1,products!$A$1:$G$1,0))</f>
        <v>12.95</v>
      </c>
      <c r="M212" s="7">
        <f t="shared" si="9"/>
        <v>51.8</v>
      </c>
      <c r="N212" t="str">
        <f t="shared" si="10"/>
        <v>Liberica</v>
      </c>
      <c r="O212" t="str">
        <f t="shared" si="11"/>
        <v>Dark</v>
      </c>
      <c r="P212" t="str">
        <f>_xlfn.XLOOKUP(Table1[[#This Row],[Customer ID]],customers!$A$2:$A$1001,customers!$I$2:$I$1001,,0)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INDEX(products!$A$1:$G$49,MATCH(orders!$D213,products!$A$1:$A$49,0),MATCH(I$1,products!$A$1:$G$1,0))</f>
        <v>Exc</v>
      </c>
      <c r="J213" t="str">
        <f>INDEX(products!$A$1:$G$49,MATCH(orders!$D213,products!$A$1:$A$49,0),MATCH(J$1,products!$A$1:$G$1,0))</f>
        <v>L</v>
      </c>
      <c r="K213" s="6">
        <f>INDEX(products!$A$1:$G$49,MATCH(orders!$D213,products!$A$1:$A$49,0),MATCH(K$1,products!$A$1:$G$1,0))</f>
        <v>0.5</v>
      </c>
      <c r="L213" s="7">
        <f>INDEX(products!$A$1:$G$49,MATCH(orders!$D213,products!$A$1:$A$49,0),MATCH(L$1,products!$A$1:$G$1,0))</f>
        <v>8.91</v>
      </c>
      <c r="M213" s="7">
        <f t="shared" si="9"/>
        <v>53.46</v>
      </c>
      <c r="N213" t="str">
        <f t="shared" si="10"/>
        <v>Excelsa</v>
      </c>
      <c r="O213" t="str">
        <f t="shared" si="11"/>
        <v>Light</v>
      </c>
      <c r="P213" t="str">
        <f>_xlfn.XLOOKUP(Table1[[#This Row],[Customer ID]],customers!$A$2:$A$1001,customers!$I$2:$I$1001,,0)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INDEX(products!$A$1:$G$49,MATCH(orders!$D214,products!$A$1:$A$49,0),MATCH(I$1,products!$A$1:$G$1,0))</f>
        <v>Exc</v>
      </c>
      <c r="J214" t="str">
        <f>INDEX(products!$A$1:$G$49,MATCH(orders!$D214,products!$A$1:$A$49,0),MATCH(J$1,products!$A$1:$G$1,0))</f>
        <v>D</v>
      </c>
      <c r="K214" s="6">
        <f>INDEX(products!$A$1:$G$49,MATCH(orders!$D214,products!$A$1:$A$49,0),MATCH(K$1,products!$A$1:$G$1,0))</f>
        <v>0.2</v>
      </c>
      <c r="L214" s="7">
        <f>INDEX(products!$A$1:$G$49,MATCH(orders!$D214,products!$A$1:$A$49,0),MATCH(L$1,products!$A$1:$G$1,0))</f>
        <v>3.645</v>
      </c>
      <c r="M214" s="7">
        <f t="shared" si="9"/>
        <v>14.58</v>
      </c>
      <c r="N214" t="str">
        <f t="shared" si="10"/>
        <v>Excelsa</v>
      </c>
      <c r="O214" t="str">
        <f t="shared" si="11"/>
        <v>Dark</v>
      </c>
      <c r="P214" t="str">
        <f>_xlfn.XLOOKUP(Table1[[#This Row],[Customer ID]],customers!$A$2:$A$1001,customers!$I$2:$I$1001,,0)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INDEX(products!$A$1:$G$49,MATCH(orders!$D215,products!$A$1:$A$49,0),MATCH(I$1,products!$A$1:$G$1,0))</f>
        <v>Rob</v>
      </c>
      <c r="J215" t="str">
        <f>INDEX(products!$A$1:$G$49,MATCH(orders!$D215,products!$A$1:$A$49,0),MATCH(J$1,products!$A$1:$G$1,0))</f>
        <v>D</v>
      </c>
      <c r="K215" s="6">
        <f>INDEX(products!$A$1:$G$49,MATCH(orders!$D215,products!$A$1:$A$49,0),MATCH(K$1,products!$A$1:$G$1,0))</f>
        <v>2.5</v>
      </c>
      <c r="L215" s="7">
        <f>INDEX(products!$A$1:$G$49,MATCH(orders!$D215,products!$A$1:$A$49,0),MATCH(L$1,products!$A$1:$G$1,0))</f>
        <v>20.584999999999997</v>
      </c>
      <c r="M215" s="7">
        <f t="shared" si="9"/>
        <v>20.584999999999997</v>
      </c>
      <c r="N215" t="str">
        <f t="shared" si="10"/>
        <v>Robusta</v>
      </c>
      <c r="O215" t="str">
        <f t="shared" si="11"/>
        <v>Dark</v>
      </c>
      <c r="P215" t="str">
        <f>_xlfn.XLOOKUP(Table1[[#This Row],[Customer ID]],customers!$A$2:$A$1001,customers!$I$2:$I$1001,,0)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INDEX(products!$A$1:$G$49,MATCH(orders!$D216,products!$A$1:$A$49,0),MATCH(I$1,products!$A$1:$G$1,0))</f>
        <v>Lib</v>
      </c>
      <c r="J216" t="str">
        <f>INDEX(products!$A$1:$G$49,MATCH(orders!$D216,products!$A$1:$A$49,0),MATCH(J$1,products!$A$1:$G$1,0))</f>
        <v>L</v>
      </c>
      <c r="K216" s="6">
        <f>INDEX(products!$A$1:$G$49,MATCH(orders!$D216,products!$A$1:$A$49,0),MATCH(K$1,products!$A$1:$G$1,0))</f>
        <v>1</v>
      </c>
      <c r="L216" s="7">
        <f>INDEX(products!$A$1:$G$49,MATCH(orders!$D216,products!$A$1:$A$49,0),MATCH(L$1,products!$A$1:$G$1,0))</f>
        <v>15.85</v>
      </c>
      <c r="M216" s="7">
        <f t="shared" si="9"/>
        <v>31.7</v>
      </c>
      <c r="N216" t="str">
        <f t="shared" si="10"/>
        <v>Liberica</v>
      </c>
      <c r="O216" t="str">
        <f t="shared" si="11"/>
        <v>Light</v>
      </c>
      <c r="P216" t="str">
        <f>_xlfn.XLOOKUP(Table1[[#This Row],[Customer ID]],customers!$A$2:$A$1001,customers!$I$2:$I$1001,,0)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INDEX(products!$A$1:$G$49,MATCH(orders!$D217,products!$A$1:$A$49,0),MATCH(I$1,products!$A$1:$G$1,0))</f>
        <v>Lib</v>
      </c>
      <c r="J217" t="str">
        <f>INDEX(products!$A$1:$G$49,MATCH(orders!$D217,products!$A$1:$A$49,0),MATCH(J$1,products!$A$1:$G$1,0))</f>
        <v>D</v>
      </c>
      <c r="K217" s="6">
        <f>INDEX(products!$A$1:$G$49,MATCH(orders!$D217,products!$A$1:$A$49,0),MATCH(K$1,products!$A$1:$G$1,0))</f>
        <v>0.2</v>
      </c>
      <c r="L217" s="7">
        <f>INDEX(products!$A$1:$G$49,MATCH(orders!$D217,products!$A$1:$A$49,0),MATCH(L$1,products!$A$1:$G$1,0))</f>
        <v>3.8849999999999998</v>
      </c>
      <c r="M217" s="7">
        <f t="shared" si="9"/>
        <v>23.31</v>
      </c>
      <c r="N217" t="str">
        <f t="shared" si="10"/>
        <v>Liberica</v>
      </c>
      <c r="O217" t="str">
        <f t="shared" si="11"/>
        <v>Dark</v>
      </c>
      <c r="P217" t="str">
        <f>_xlfn.XLOOKUP(Table1[[#This Row],[Customer ID]],customers!$A$2:$A$1001,customers!$I$2:$I$1001,,0)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INDEX(products!$A$1:$G$49,MATCH(orders!$D218,products!$A$1:$A$49,0),MATCH(I$1,products!$A$1:$G$1,0))</f>
        <v>Lib</v>
      </c>
      <c r="J218" t="str">
        <f>INDEX(products!$A$1:$G$49,MATCH(orders!$D218,products!$A$1:$A$49,0),MATCH(J$1,products!$A$1:$G$1,0))</f>
        <v>M</v>
      </c>
      <c r="K218" s="6">
        <f>INDEX(products!$A$1:$G$49,MATCH(orders!$D218,products!$A$1:$A$49,0),MATCH(K$1,products!$A$1:$G$1,0))</f>
        <v>1</v>
      </c>
      <c r="L218" s="7">
        <f>INDEX(products!$A$1:$G$49,MATCH(orders!$D218,products!$A$1:$A$49,0),MATCH(L$1,products!$A$1:$G$1,0))</f>
        <v>14.55</v>
      </c>
      <c r="M218" s="7">
        <f t="shared" si="9"/>
        <v>58.2</v>
      </c>
      <c r="N218" t="str">
        <f t="shared" si="10"/>
        <v>Liberica</v>
      </c>
      <c r="O218" t="str">
        <f t="shared" si="11"/>
        <v>Medium</v>
      </c>
      <c r="P218" t="str">
        <f>_xlfn.XLOOKUP(Table1[[#This Row],[Customer ID]],customers!$A$2:$A$1001,customers!$I$2:$I$1001,,0)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INDEX(products!$A$1:$G$49,MATCH(orders!$D219,products!$A$1:$A$49,0),MATCH(I$1,products!$A$1:$G$1,0))</f>
        <v>Exc</v>
      </c>
      <c r="J219" t="str">
        <f>INDEX(products!$A$1:$G$49,MATCH(orders!$D219,products!$A$1:$A$49,0),MATCH(J$1,products!$A$1:$G$1,0))</f>
        <v>L</v>
      </c>
      <c r="K219" s="6">
        <f>INDEX(products!$A$1:$G$49,MATCH(orders!$D219,products!$A$1:$A$49,0),MATCH(K$1,products!$A$1:$G$1,0))</f>
        <v>0.5</v>
      </c>
      <c r="L219" s="7">
        <f>INDEX(products!$A$1:$G$49,MATCH(orders!$D219,products!$A$1:$A$49,0),MATCH(L$1,products!$A$1:$G$1,0))</f>
        <v>8.91</v>
      </c>
      <c r="M219" s="7">
        <f t="shared" si="9"/>
        <v>35.64</v>
      </c>
      <c r="N219" t="str">
        <f t="shared" si="10"/>
        <v>Excelsa</v>
      </c>
      <c r="O219" t="str">
        <f t="shared" si="11"/>
        <v>Light</v>
      </c>
      <c r="P219" t="str">
        <f>_xlfn.XLOOKUP(Table1[[#This Row],[Customer ID]],customers!$A$2:$A$1001,customers!$I$2:$I$1001,,0)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INDEX(products!$A$1:$G$49,MATCH(orders!$D220,products!$A$1:$A$49,0),MATCH(I$1,products!$A$1:$G$1,0))</f>
        <v>Ara</v>
      </c>
      <c r="J220" t="str">
        <f>INDEX(products!$A$1:$G$49,MATCH(orders!$D220,products!$A$1:$A$49,0),MATCH(J$1,products!$A$1:$G$1,0))</f>
        <v>M</v>
      </c>
      <c r="K220" s="6">
        <f>INDEX(products!$A$1:$G$49,MATCH(orders!$D220,products!$A$1:$A$49,0),MATCH(K$1,products!$A$1:$G$1,0))</f>
        <v>1</v>
      </c>
      <c r="L220" s="7">
        <f>INDEX(products!$A$1:$G$49,MATCH(orders!$D220,products!$A$1:$A$49,0),MATCH(L$1,products!$A$1:$G$1,0))</f>
        <v>11.25</v>
      </c>
      <c r="M220" s="7">
        <f t="shared" si="9"/>
        <v>56.25</v>
      </c>
      <c r="N220" t="str">
        <f t="shared" si="10"/>
        <v>Arabica</v>
      </c>
      <c r="O220" t="str">
        <f t="shared" si="11"/>
        <v>Medium</v>
      </c>
      <c r="P220" t="str">
        <f>_xlfn.XLOOKUP(Table1[[#This Row],[Customer ID]],customers!$A$2:$A$1001,customers!$I$2:$I$1001,,0)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INDEX(products!$A$1:$G$49,MATCH(orders!$D221,products!$A$1:$A$49,0),MATCH(I$1,products!$A$1:$G$1,0))</f>
        <v>Rob</v>
      </c>
      <c r="J221" t="str">
        <f>INDEX(products!$A$1:$G$49,MATCH(orders!$D221,products!$A$1:$A$49,0),MATCH(J$1,products!$A$1:$G$1,0))</f>
        <v>L</v>
      </c>
      <c r="K221" s="6">
        <f>INDEX(products!$A$1:$G$49,MATCH(orders!$D221,products!$A$1:$A$49,0),MATCH(K$1,products!$A$1:$G$1,0))</f>
        <v>0.2</v>
      </c>
      <c r="L221" s="7">
        <f>INDEX(products!$A$1:$G$49,MATCH(orders!$D221,products!$A$1:$A$49,0),MATCH(L$1,products!$A$1:$G$1,0))</f>
        <v>3.5849999999999995</v>
      </c>
      <c r="M221" s="7">
        <f t="shared" si="9"/>
        <v>10.754999999999999</v>
      </c>
      <c r="N221" t="str">
        <f t="shared" si="10"/>
        <v>Robusta</v>
      </c>
      <c r="O221" t="str">
        <f t="shared" si="11"/>
        <v>Light</v>
      </c>
      <c r="P221" t="str">
        <f>_xlfn.XLOOKUP(Table1[[#This Row],[Customer ID]],customers!$A$2:$A$1001,customers!$I$2:$I$1001,,0)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INDEX(products!$A$1:$G$49,MATCH(orders!$D222,products!$A$1:$A$49,0),MATCH(I$1,products!$A$1:$G$1,0))</f>
        <v>Rob</v>
      </c>
      <c r="J222" t="str">
        <f>INDEX(products!$A$1:$G$49,MATCH(orders!$D222,products!$A$1:$A$49,0),MATCH(J$1,products!$A$1:$G$1,0))</f>
        <v>M</v>
      </c>
      <c r="K222" s="6">
        <f>INDEX(products!$A$1:$G$49,MATCH(orders!$D222,products!$A$1:$A$49,0),MATCH(K$1,products!$A$1:$G$1,0))</f>
        <v>0.2</v>
      </c>
      <c r="L222" s="7">
        <f>INDEX(products!$A$1:$G$49,MATCH(orders!$D222,products!$A$1:$A$49,0),MATCH(L$1,products!$A$1:$G$1,0))</f>
        <v>2.9849999999999999</v>
      </c>
      <c r="M222" s="7">
        <f t="shared" si="9"/>
        <v>14.924999999999999</v>
      </c>
      <c r="N222" t="str">
        <f t="shared" si="10"/>
        <v>Robusta</v>
      </c>
      <c r="O222" t="str">
        <f t="shared" si="11"/>
        <v>Medium</v>
      </c>
      <c r="P222" t="str">
        <f>_xlfn.XLOOKUP(Table1[[#This Row],[Customer ID]],customers!$A$2:$A$1001,customers!$I$2:$I$1001,,0)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INDEX(products!$A$1:$G$49,MATCH(orders!$D223,products!$A$1:$A$49,0),MATCH(I$1,products!$A$1:$G$1,0))</f>
        <v>Ara</v>
      </c>
      <c r="J223" t="str">
        <f>INDEX(products!$A$1:$G$49,MATCH(orders!$D223,products!$A$1:$A$49,0),MATCH(J$1,products!$A$1:$G$1,0))</f>
        <v>L</v>
      </c>
      <c r="K223" s="6">
        <f>INDEX(products!$A$1:$G$49,MATCH(orders!$D223,products!$A$1:$A$49,0),MATCH(K$1,products!$A$1:$G$1,0))</f>
        <v>1</v>
      </c>
      <c r="L223" s="7">
        <f>INDEX(products!$A$1:$G$49,MATCH(orders!$D223,products!$A$1:$A$49,0),MATCH(L$1,products!$A$1:$G$1,0))</f>
        <v>12.95</v>
      </c>
      <c r="M223" s="7">
        <f t="shared" si="9"/>
        <v>77.699999999999989</v>
      </c>
      <c r="N223" t="str">
        <f t="shared" si="10"/>
        <v>Arabica</v>
      </c>
      <c r="O223" t="str">
        <f t="shared" si="11"/>
        <v>Light</v>
      </c>
      <c r="P223" t="str">
        <f>_xlfn.XLOOKUP(Table1[[#This Row],[Customer ID]],customers!$A$2:$A$1001,customers!$I$2:$I$1001,,0)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INDEX(products!$A$1:$G$49,MATCH(orders!$D224,products!$A$1:$A$49,0),MATCH(I$1,products!$A$1:$G$1,0))</f>
        <v>Lib</v>
      </c>
      <c r="J224" t="str">
        <f>INDEX(products!$A$1:$G$49,MATCH(orders!$D224,products!$A$1:$A$49,0),MATCH(J$1,products!$A$1:$G$1,0))</f>
        <v>D</v>
      </c>
      <c r="K224" s="6">
        <f>INDEX(products!$A$1:$G$49,MATCH(orders!$D224,products!$A$1:$A$49,0),MATCH(K$1,products!$A$1:$G$1,0))</f>
        <v>0.5</v>
      </c>
      <c r="L224" s="7">
        <f>INDEX(products!$A$1:$G$49,MATCH(orders!$D224,products!$A$1:$A$49,0),MATCH(L$1,products!$A$1:$G$1,0))</f>
        <v>7.77</v>
      </c>
      <c r="M224" s="7">
        <f t="shared" si="9"/>
        <v>23.31</v>
      </c>
      <c r="N224" t="str">
        <f t="shared" si="10"/>
        <v>Liberica</v>
      </c>
      <c r="O224" t="str">
        <f t="shared" si="11"/>
        <v>Dark</v>
      </c>
      <c r="P224" t="str">
        <f>_xlfn.XLOOKUP(Table1[[#This Row],[Customer ID]],customers!$A$2:$A$1001,customers!$I$2:$I$1001,,0)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INDEX(products!$A$1:$G$49,MATCH(orders!$D225,products!$A$1:$A$49,0),MATCH(I$1,products!$A$1:$G$1,0))</f>
        <v>Exc</v>
      </c>
      <c r="J225" t="str">
        <f>INDEX(products!$A$1:$G$49,MATCH(orders!$D225,products!$A$1:$A$49,0),MATCH(J$1,products!$A$1:$G$1,0))</f>
        <v>L</v>
      </c>
      <c r="K225" s="6">
        <f>INDEX(products!$A$1:$G$49,MATCH(orders!$D225,products!$A$1:$A$49,0),MATCH(K$1,products!$A$1:$G$1,0))</f>
        <v>1</v>
      </c>
      <c r="L225" s="7">
        <f>INDEX(products!$A$1:$G$49,MATCH(orders!$D225,products!$A$1:$A$49,0),MATCH(L$1,products!$A$1:$G$1,0))</f>
        <v>14.85</v>
      </c>
      <c r="M225" s="7">
        <f t="shared" si="9"/>
        <v>59.4</v>
      </c>
      <c r="N225" t="str">
        <f t="shared" si="10"/>
        <v>Excelsa</v>
      </c>
      <c r="O225" t="str">
        <f t="shared" si="11"/>
        <v>Light</v>
      </c>
      <c r="P225" t="str">
        <f>_xlfn.XLOOKUP(Table1[[#This Row],[Customer ID]],customers!$A$2:$A$1001,customers!$I$2:$I$1001,,0)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INDEX(products!$A$1:$G$49,MATCH(orders!$D226,products!$A$1:$A$49,0),MATCH(I$1,products!$A$1:$G$1,0))</f>
        <v>Lib</v>
      </c>
      <c r="J226" t="str">
        <f>INDEX(products!$A$1:$G$49,MATCH(orders!$D226,products!$A$1:$A$49,0),MATCH(J$1,products!$A$1:$G$1,0))</f>
        <v>D</v>
      </c>
      <c r="K226" s="6">
        <f>INDEX(products!$A$1:$G$49,MATCH(orders!$D226,products!$A$1:$A$49,0),MATCH(K$1,products!$A$1:$G$1,0))</f>
        <v>2.5</v>
      </c>
      <c r="L226" s="7">
        <f>INDEX(products!$A$1:$G$49,MATCH(orders!$D226,products!$A$1:$A$49,0),MATCH(L$1,products!$A$1:$G$1,0))</f>
        <v>29.784999999999997</v>
      </c>
      <c r="M226" s="7">
        <f t="shared" si="9"/>
        <v>119.13999999999999</v>
      </c>
      <c r="N226" t="str">
        <f t="shared" si="10"/>
        <v>Liberica</v>
      </c>
      <c r="O226" t="str">
        <f t="shared" si="11"/>
        <v>Dark</v>
      </c>
      <c r="P226" t="str">
        <f>_xlfn.XLOOKUP(Table1[[#This Row],[Customer ID]],customers!$A$2:$A$1001,customers!$I$2:$I$1001,,0)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INDEX(products!$A$1:$G$49,MATCH(orders!$D227,products!$A$1:$A$49,0),MATCH(I$1,products!$A$1:$G$1,0))</f>
        <v>Rob</v>
      </c>
      <c r="J227" t="str">
        <f>INDEX(products!$A$1:$G$49,MATCH(orders!$D227,products!$A$1:$A$49,0),MATCH(J$1,products!$A$1:$G$1,0))</f>
        <v>L</v>
      </c>
      <c r="K227" s="6">
        <f>INDEX(products!$A$1:$G$49,MATCH(orders!$D227,products!$A$1:$A$49,0),MATCH(K$1,products!$A$1:$G$1,0))</f>
        <v>0.2</v>
      </c>
      <c r="L227" s="7">
        <f>INDEX(products!$A$1:$G$49,MATCH(orders!$D227,products!$A$1:$A$49,0),MATCH(L$1,products!$A$1:$G$1,0))</f>
        <v>3.5849999999999995</v>
      </c>
      <c r="M227" s="7">
        <f t="shared" si="9"/>
        <v>14.339999999999998</v>
      </c>
      <c r="N227" t="str">
        <f t="shared" si="10"/>
        <v>Robusta</v>
      </c>
      <c r="O227" t="str">
        <f t="shared" si="11"/>
        <v>Light</v>
      </c>
      <c r="P227" t="str">
        <f>_xlfn.XLOOKUP(Table1[[#This Row],[Customer ID]],customers!$A$2:$A$1001,customers!$I$2:$I$1001,,0)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INDEX(products!$A$1:$G$49,MATCH(orders!$D228,products!$A$1:$A$49,0),MATCH(I$1,products!$A$1:$G$1,0))</f>
        <v>Ara</v>
      </c>
      <c r="J228" t="str">
        <f>INDEX(products!$A$1:$G$49,MATCH(orders!$D228,products!$A$1:$A$49,0),MATCH(J$1,products!$A$1:$G$1,0))</f>
        <v>M</v>
      </c>
      <c r="K228" s="6">
        <f>INDEX(products!$A$1:$G$49,MATCH(orders!$D228,products!$A$1:$A$49,0),MATCH(K$1,products!$A$1:$G$1,0))</f>
        <v>2.5</v>
      </c>
      <c r="L228" s="7">
        <f>INDEX(products!$A$1:$G$49,MATCH(orders!$D228,products!$A$1:$A$49,0),MATCH(L$1,products!$A$1:$G$1,0))</f>
        <v>25.874999999999996</v>
      </c>
      <c r="M228" s="7">
        <f t="shared" si="9"/>
        <v>129.37499999999997</v>
      </c>
      <c r="N228" t="str">
        <f t="shared" si="10"/>
        <v>Arabica</v>
      </c>
      <c r="O228" t="str">
        <f t="shared" si="11"/>
        <v>Medium</v>
      </c>
      <c r="P228" t="str">
        <f>_xlfn.XLOOKUP(Table1[[#This Row],[Customer ID]],customers!$A$2:$A$1001,customers!$I$2:$I$1001,,0)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INDEX(products!$A$1:$G$49,MATCH(orders!$D229,products!$A$1:$A$49,0),MATCH(I$1,products!$A$1:$G$1,0))</f>
        <v>Rob</v>
      </c>
      <c r="J229" t="str">
        <f>INDEX(products!$A$1:$G$49,MATCH(orders!$D229,products!$A$1:$A$49,0),MATCH(J$1,products!$A$1:$G$1,0))</f>
        <v>D</v>
      </c>
      <c r="K229" s="6">
        <f>INDEX(products!$A$1:$G$49,MATCH(orders!$D229,products!$A$1:$A$49,0),MATCH(K$1,products!$A$1:$G$1,0))</f>
        <v>0.2</v>
      </c>
      <c r="L229" s="7">
        <f>INDEX(products!$A$1:$G$49,MATCH(orders!$D229,products!$A$1:$A$49,0),MATCH(L$1,products!$A$1:$G$1,0))</f>
        <v>2.6849999999999996</v>
      </c>
      <c r="M229" s="7">
        <f t="shared" si="9"/>
        <v>16.11</v>
      </c>
      <c r="N229" t="str">
        <f t="shared" si="10"/>
        <v>Robusta</v>
      </c>
      <c r="O229" t="str">
        <f t="shared" si="11"/>
        <v>Dark</v>
      </c>
      <c r="P229" t="str">
        <f>_xlfn.XLOOKUP(Table1[[#This Row],[Customer ID]],customers!$A$2:$A$1001,customers!$I$2:$I$1001,,0)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INDEX(products!$A$1:$G$49,MATCH(orders!$D230,products!$A$1:$A$49,0),MATCH(I$1,products!$A$1:$G$1,0))</f>
        <v>Rob</v>
      </c>
      <c r="J230" t="str">
        <f>INDEX(products!$A$1:$G$49,MATCH(orders!$D230,products!$A$1:$A$49,0),MATCH(J$1,products!$A$1:$G$1,0))</f>
        <v>L</v>
      </c>
      <c r="K230" s="6">
        <f>INDEX(products!$A$1:$G$49,MATCH(orders!$D230,products!$A$1:$A$49,0),MATCH(K$1,products!$A$1:$G$1,0))</f>
        <v>0.2</v>
      </c>
      <c r="L230" s="7">
        <f>INDEX(products!$A$1:$G$49,MATCH(orders!$D230,products!$A$1:$A$49,0),MATCH(L$1,products!$A$1:$G$1,0))</f>
        <v>3.5849999999999995</v>
      </c>
      <c r="M230" s="7">
        <f t="shared" si="9"/>
        <v>17.924999999999997</v>
      </c>
      <c r="N230" t="str">
        <f t="shared" si="10"/>
        <v>Robusta</v>
      </c>
      <c r="O230" t="str">
        <f t="shared" si="11"/>
        <v>Light</v>
      </c>
      <c r="P230" t="str">
        <f>_xlfn.XLOOKUP(Table1[[#This Row],[Customer ID]],customers!$A$2:$A$1001,customers!$I$2:$I$1001,,0)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INDEX(products!$A$1:$G$49,MATCH(orders!$D231,products!$A$1:$A$49,0),MATCH(I$1,products!$A$1:$G$1,0))</f>
        <v>Lib</v>
      </c>
      <c r="J231" t="str">
        <f>INDEX(products!$A$1:$G$49,MATCH(orders!$D231,products!$A$1:$A$49,0),MATCH(J$1,products!$A$1:$G$1,0))</f>
        <v>M</v>
      </c>
      <c r="K231" s="6">
        <f>INDEX(products!$A$1:$G$49,MATCH(orders!$D231,products!$A$1:$A$49,0),MATCH(K$1,products!$A$1:$G$1,0))</f>
        <v>0.2</v>
      </c>
      <c r="L231" s="7">
        <f>INDEX(products!$A$1:$G$49,MATCH(orders!$D231,products!$A$1:$A$49,0),MATCH(L$1,products!$A$1:$G$1,0))</f>
        <v>4.3650000000000002</v>
      </c>
      <c r="M231" s="7">
        <f t="shared" si="9"/>
        <v>8.73</v>
      </c>
      <c r="N231" t="str">
        <f t="shared" si="10"/>
        <v>Liberica</v>
      </c>
      <c r="O231" t="str">
        <f t="shared" si="11"/>
        <v>Medium</v>
      </c>
      <c r="P231" t="str">
        <f>_xlfn.XLOOKUP(Table1[[#This Row],[Customer ID]],customers!$A$2:$A$1001,customers!$I$2:$I$1001,,0)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INDEX(products!$A$1:$G$49,MATCH(orders!$D232,products!$A$1:$A$49,0),MATCH(I$1,products!$A$1:$G$1,0))</f>
        <v>Ara</v>
      </c>
      <c r="J232" t="str">
        <f>INDEX(products!$A$1:$G$49,MATCH(orders!$D232,products!$A$1:$A$49,0),MATCH(J$1,products!$A$1:$G$1,0))</f>
        <v>M</v>
      </c>
      <c r="K232" s="6">
        <f>INDEX(products!$A$1:$G$49,MATCH(orders!$D232,products!$A$1:$A$49,0),MATCH(K$1,products!$A$1:$G$1,0))</f>
        <v>2.5</v>
      </c>
      <c r="L232" s="7">
        <f>INDEX(products!$A$1:$G$49,MATCH(orders!$D232,products!$A$1:$A$49,0),MATCH(L$1,products!$A$1:$G$1,0))</f>
        <v>25.874999999999996</v>
      </c>
      <c r="M232" s="7">
        <f t="shared" si="9"/>
        <v>51.749999999999993</v>
      </c>
      <c r="N232" t="str">
        <f t="shared" si="10"/>
        <v>Arabica</v>
      </c>
      <c r="O232" t="str">
        <f t="shared" si="11"/>
        <v>Medium</v>
      </c>
      <c r="P232" t="str">
        <f>_xlfn.XLOOKUP(Table1[[#This Row],[Customer ID]],customers!$A$2:$A$1001,customers!$I$2:$I$1001,,0)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INDEX(products!$A$1:$G$49,MATCH(orders!$D233,products!$A$1:$A$49,0),MATCH(I$1,products!$A$1:$G$1,0))</f>
        <v>Lib</v>
      </c>
      <c r="J233" t="str">
        <f>INDEX(products!$A$1:$G$49,MATCH(orders!$D233,products!$A$1:$A$49,0),MATCH(J$1,products!$A$1:$G$1,0))</f>
        <v>M</v>
      </c>
      <c r="K233" s="6">
        <f>INDEX(products!$A$1:$G$49,MATCH(orders!$D233,products!$A$1:$A$49,0),MATCH(K$1,products!$A$1:$G$1,0))</f>
        <v>0.2</v>
      </c>
      <c r="L233" s="7">
        <f>INDEX(products!$A$1:$G$49,MATCH(orders!$D233,products!$A$1:$A$49,0),MATCH(L$1,products!$A$1:$G$1,0))</f>
        <v>4.3650000000000002</v>
      </c>
      <c r="M233" s="7">
        <f t="shared" si="9"/>
        <v>8.73</v>
      </c>
      <c r="N233" t="str">
        <f t="shared" si="10"/>
        <v>Liberica</v>
      </c>
      <c r="O233" t="str">
        <f t="shared" si="11"/>
        <v>Medium</v>
      </c>
      <c r="P233" t="str">
        <f>_xlfn.XLOOKUP(Table1[[#This Row],[Customer ID]],customers!$A$2:$A$1001,customers!$I$2:$I$1001,,0)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INDEX(products!$A$1:$G$49,MATCH(orders!$D234,products!$A$1:$A$49,0),MATCH(I$1,products!$A$1:$G$1,0))</f>
        <v>Lib</v>
      </c>
      <c r="J234" t="str">
        <f>INDEX(products!$A$1:$G$49,MATCH(orders!$D234,products!$A$1:$A$49,0),MATCH(J$1,products!$A$1:$G$1,0))</f>
        <v>L</v>
      </c>
      <c r="K234" s="6">
        <f>INDEX(products!$A$1:$G$49,MATCH(orders!$D234,products!$A$1:$A$49,0),MATCH(K$1,products!$A$1:$G$1,0))</f>
        <v>0.2</v>
      </c>
      <c r="L234" s="7">
        <f>INDEX(products!$A$1:$G$49,MATCH(orders!$D234,products!$A$1:$A$49,0),MATCH(L$1,products!$A$1:$G$1,0))</f>
        <v>4.7549999999999999</v>
      </c>
      <c r="M234" s="7">
        <f t="shared" si="9"/>
        <v>23.774999999999999</v>
      </c>
      <c r="N234" t="str">
        <f t="shared" si="10"/>
        <v>Liberica</v>
      </c>
      <c r="O234" t="str">
        <f t="shared" si="11"/>
        <v>Light</v>
      </c>
      <c r="P234" t="str">
        <f>_xlfn.XLOOKUP(Table1[[#This Row],[Customer ID]],customers!$A$2:$A$1001,customers!$I$2:$I$1001,,0)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INDEX(products!$A$1:$G$49,MATCH(orders!$D235,products!$A$1:$A$49,0),MATCH(I$1,products!$A$1:$G$1,0))</f>
        <v>Exc</v>
      </c>
      <c r="J235" t="str">
        <f>INDEX(products!$A$1:$G$49,MATCH(orders!$D235,products!$A$1:$A$49,0),MATCH(J$1,products!$A$1:$G$1,0))</f>
        <v>M</v>
      </c>
      <c r="K235" s="6">
        <f>INDEX(products!$A$1:$G$49,MATCH(orders!$D235,products!$A$1:$A$49,0),MATCH(K$1,products!$A$1:$G$1,0))</f>
        <v>0.2</v>
      </c>
      <c r="L235" s="7">
        <f>INDEX(products!$A$1:$G$49,MATCH(orders!$D235,products!$A$1:$A$49,0),MATCH(L$1,products!$A$1:$G$1,0))</f>
        <v>4.125</v>
      </c>
      <c r="M235" s="7">
        <f t="shared" si="9"/>
        <v>20.625</v>
      </c>
      <c r="N235" t="str">
        <f t="shared" si="10"/>
        <v>Excelsa</v>
      </c>
      <c r="O235" t="str">
        <f t="shared" si="11"/>
        <v>Medium</v>
      </c>
      <c r="P235" t="str">
        <f>_xlfn.XLOOKUP(Table1[[#This Row],[Customer ID]],customers!$A$2:$A$1001,customers!$I$2:$I$1001,,0)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INDEX(products!$A$1:$G$49,MATCH(orders!$D236,products!$A$1:$A$49,0),MATCH(I$1,products!$A$1:$G$1,0))</f>
        <v>Lib</v>
      </c>
      <c r="J236" t="str">
        <f>INDEX(products!$A$1:$G$49,MATCH(orders!$D236,products!$A$1:$A$49,0),MATCH(J$1,products!$A$1:$G$1,0))</f>
        <v>L</v>
      </c>
      <c r="K236" s="6">
        <f>INDEX(products!$A$1:$G$49,MATCH(orders!$D236,products!$A$1:$A$49,0),MATCH(K$1,products!$A$1:$G$1,0))</f>
        <v>2.5</v>
      </c>
      <c r="L236" s="7">
        <f>INDEX(products!$A$1:$G$49,MATCH(orders!$D236,products!$A$1:$A$49,0),MATCH(L$1,products!$A$1:$G$1,0))</f>
        <v>36.454999999999998</v>
      </c>
      <c r="M236" s="7">
        <f t="shared" si="9"/>
        <v>36.454999999999998</v>
      </c>
      <c r="N236" t="str">
        <f t="shared" si="10"/>
        <v>Liberica</v>
      </c>
      <c r="O236" t="str">
        <f t="shared" si="11"/>
        <v>Light</v>
      </c>
      <c r="P236" t="str">
        <f>_xlfn.XLOOKUP(Table1[[#This Row],[Customer ID]],customers!$A$2:$A$1001,customers!$I$2:$I$1001,,0)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INDEX(products!$A$1:$G$49,MATCH(orders!$D237,products!$A$1:$A$49,0),MATCH(I$1,products!$A$1:$G$1,0))</f>
        <v>Lib</v>
      </c>
      <c r="J237" t="str">
        <f>INDEX(products!$A$1:$G$49,MATCH(orders!$D237,products!$A$1:$A$49,0),MATCH(J$1,products!$A$1:$G$1,0))</f>
        <v>L</v>
      </c>
      <c r="K237" s="6">
        <f>INDEX(products!$A$1:$G$49,MATCH(orders!$D237,products!$A$1:$A$49,0),MATCH(K$1,products!$A$1:$G$1,0))</f>
        <v>2.5</v>
      </c>
      <c r="L237" s="7">
        <f>INDEX(products!$A$1:$G$49,MATCH(orders!$D237,products!$A$1:$A$49,0),MATCH(L$1,products!$A$1:$G$1,0))</f>
        <v>36.454999999999998</v>
      </c>
      <c r="M237" s="7">
        <f t="shared" si="9"/>
        <v>182.27499999999998</v>
      </c>
      <c r="N237" t="str">
        <f t="shared" si="10"/>
        <v>Liberica</v>
      </c>
      <c r="O237" t="str">
        <f t="shared" si="11"/>
        <v>Light</v>
      </c>
      <c r="P237" t="str">
        <f>_xlfn.XLOOKUP(Table1[[#This Row],[Customer ID]],customers!$A$2:$A$1001,customers!$I$2:$I$1001,,0)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INDEX(products!$A$1:$G$49,MATCH(orders!$D238,products!$A$1:$A$49,0),MATCH(I$1,products!$A$1:$G$1,0))</f>
        <v>Lib</v>
      </c>
      <c r="J238" t="str">
        <f>INDEX(products!$A$1:$G$49,MATCH(orders!$D238,products!$A$1:$A$49,0),MATCH(J$1,products!$A$1:$G$1,0))</f>
        <v>D</v>
      </c>
      <c r="K238" s="6">
        <f>INDEX(products!$A$1:$G$49,MATCH(orders!$D238,products!$A$1:$A$49,0),MATCH(K$1,products!$A$1:$G$1,0))</f>
        <v>2.5</v>
      </c>
      <c r="L238" s="7">
        <f>INDEX(products!$A$1:$G$49,MATCH(orders!$D238,products!$A$1:$A$49,0),MATCH(L$1,products!$A$1:$G$1,0))</f>
        <v>29.784999999999997</v>
      </c>
      <c r="M238" s="7">
        <f t="shared" si="9"/>
        <v>89.35499999999999</v>
      </c>
      <c r="N238" t="str">
        <f t="shared" si="10"/>
        <v>Liberica</v>
      </c>
      <c r="O238" t="str">
        <f t="shared" si="11"/>
        <v>Dark</v>
      </c>
      <c r="P238" t="str">
        <f>_xlfn.XLOOKUP(Table1[[#This Row],[Customer ID]],customers!$A$2:$A$1001,customers!$I$2:$I$1001,,0)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INDEX(products!$A$1:$G$49,MATCH(orders!$D239,products!$A$1:$A$49,0),MATCH(I$1,products!$A$1:$G$1,0))</f>
        <v>Rob</v>
      </c>
      <c r="J239" t="str">
        <f>INDEX(products!$A$1:$G$49,MATCH(orders!$D239,products!$A$1:$A$49,0),MATCH(J$1,products!$A$1:$G$1,0))</f>
        <v>L</v>
      </c>
      <c r="K239" s="6">
        <f>INDEX(products!$A$1:$G$49,MATCH(orders!$D239,products!$A$1:$A$49,0),MATCH(K$1,products!$A$1:$G$1,0))</f>
        <v>0.2</v>
      </c>
      <c r="L239" s="7">
        <f>INDEX(products!$A$1:$G$49,MATCH(orders!$D239,products!$A$1:$A$49,0),MATCH(L$1,products!$A$1:$G$1,0))</f>
        <v>3.5849999999999995</v>
      </c>
      <c r="M239" s="7">
        <f t="shared" si="9"/>
        <v>3.5849999999999995</v>
      </c>
      <c r="N239" t="str">
        <f t="shared" si="10"/>
        <v>Robusta</v>
      </c>
      <c r="O239" t="str">
        <f t="shared" si="11"/>
        <v>Light</v>
      </c>
      <c r="P239" t="str">
        <f>_xlfn.XLOOKUP(Table1[[#This Row],[Customer ID]],customers!$A$2:$A$1001,customers!$I$2:$I$1001,,0)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INDEX(products!$A$1:$G$49,MATCH(orders!$D240,products!$A$1:$A$49,0),MATCH(I$1,products!$A$1:$G$1,0))</f>
        <v>Rob</v>
      </c>
      <c r="J240" t="str">
        <f>INDEX(products!$A$1:$G$49,MATCH(orders!$D240,products!$A$1:$A$49,0),MATCH(J$1,products!$A$1:$G$1,0))</f>
        <v>M</v>
      </c>
      <c r="K240" s="6">
        <f>INDEX(products!$A$1:$G$49,MATCH(orders!$D240,products!$A$1:$A$49,0),MATCH(K$1,products!$A$1:$G$1,0))</f>
        <v>2.5</v>
      </c>
      <c r="L240" s="7">
        <f>INDEX(products!$A$1:$G$49,MATCH(orders!$D240,products!$A$1:$A$49,0),MATCH(L$1,products!$A$1:$G$1,0))</f>
        <v>22.884999999999998</v>
      </c>
      <c r="M240" s="7">
        <f t="shared" si="9"/>
        <v>45.769999999999996</v>
      </c>
      <c r="N240" t="str">
        <f t="shared" si="10"/>
        <v>Robusta</v>
      </c>
      <c r="O240" t="str">
        <f t="shared" si="11"/>
        <v>Medium</v>
      </c>
      <c r="P240" t="str">
        <f>_xlfn.XLOOKUP(Table1[[#This Row],[Customer ID]],customers!$A$2:$A$1001,customers!$I$2:$I$1001,,0)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INDEX(products!$A$1:$G$49,MATCH(orders!$D241,products!$A$1:$A$49,0),MATCH(I$1,products!$A$1:$G$1,0))</f>
        <v>Exc</v>
      </c>
      <c r="J241" t="str">
        <f>INDEX(products!$A$1:$G$49,MATCH(orders!$D241,products!$A$1:$A$49,0),MATCH(J$1,products!$A$1:$G$1,0))</f>
        <v>L</v>
      </c>
      <c r="K241" s="6">
        <f>INDEX(products!$A$1:$G$49,MATCH(orders!$D241,products!$A$1:$A$49,0),MATCH(K$1,products!$A$1:$G$1,0))</f>
        <v>1</v>
      </c>
      <c r="L241" s="7">
        <f>INDEX(products!$A$1:$G$49,MATCH(orders!$D241,products!$A$1:$A$49,0),MATCH(L$1,products!$A$1:$G$1,0))</f>
        <v>14.85</v>
      </c>
      <c r="M241" s="7">
        <f t="shared" si="9"/>
        <v>59.4</v>
      </c>
      <c r="N241" t="str">
        <f t="shared" si="10"/>
        <v>Excelsa</v>
      </c>
      <c r="O241" t="str">
        <f t="shared" si="11"/>
        <v>Light</v>
      </c>
      <c r="P241" t="str">
        <f>_xlfn.XLOOKUP(Table1[[#This Row],[Customer ID]],customers!$A$2:$A$1001,customers!$I$2:$I$1001,,0)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INDEX(products!$A$1:$G$49,MATCH(orders!$D242,products!$A$1:$A$49,0),MATCH(I$1,products!$A$1:$G$1,0))</f>
        <v>Ara</v>
      </c>
      <c r="J242" t="str">
        <f>INDEX(products!$A$1:$G$49,MATCH(orders!$D242,products!$A$1:$A$49,0),MATCH(J$1,products!$A$1:$G$1,0))</f>
        <v>M</v>
      </c>
      <c r="K242" s="6">
        <f>INDEX(products!$A$1:$G$49,MATCH(orders!$D242,products!$A$1:$A$49,0),MATCH(K$1,products!$A$1:$G$1,0))</f>
        <v>2.5</v>
      </c>
      <c r="L242" s="7">
        <f>INDEX(products!$A$1:$G$49,MATCH(orders!$D242,products!$A$1:$A$49,0),MATCH(L$1,products!$A$1:$G$1,0))</f>
        <v>25.874999999999996</v>
      </c>
      <c r="M242" s="7">
        <f t="shared" si="9"/>
        <v>155.24999999999997</v>
      </c>
      <c r="N242" t="str">
        <f t="shared" si="10"/>
        <v>Arabica</v>
      </c>
      <c r="O242" t="str">
        <f t="shared" si="11"/>
        <v>Medium</v>
      </c>
      <c r="P242" t="str">
        <f>_xlfn.XLOOKUP(Table1[[#This Row],[Customer ID]],customers!$A$2:$A$1001,customers!$I$2:$I$1001,,0)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INDEX(products!$A$1:$G$49,MATCH(orders!$D243,products!$A$1:$A$49,0),MATCH(I$1,products!$A$1:$G$1,0))</f>
        <v>Rob</v>
      </c>
      <c r="J243" t="str">
        <f>INDEX(products!$A$1:$G$49,MATCH(orders!$D243,products!$A$1:$A$49,0),MATCH(J$1,products!$A$1:$G$1,0))</f>
        <v>M</v>
      </c>
      <c r="K243" s="6">
        <f>INDEX(products!$A$1:$G$49,MATCH(orders!$D243,products!$A$1:$A$49,0),MATCH(K$1,products!$A$1:$G$1,0))</f>
        <v>2.5</v>
      </c>
      <c r="L243" s="7">
        <f>INDEX(products!$A$1:$G$49,MATCH(orders!$D243,products!$A$1:$A$49,0),MATCH(L$1,products!$A$1:$G$1,0))</f>
        <v>22.884999999999998</v>
      </c>
      <c r="M243" s="7">
        <f t="shared" si="9"/>
        <v>45.769999999999996</v>
      </c>
      <c r="N243" t="str">
        <f t="shared" si="10"/>
        <v>Robusta</v>
      </c>
      <c r="O243" t="str">
        <f t="shared" si="11"/>
        <v>Medium</v>
      </c>
      <c r="P243" t="str">
        <f>_xlfn.XLOOKUP(Table1[[#This Row],[Customer ID]],customers!$A$2:$A$1001,customers!$I$2:$I$1001,,0)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INDEX(products!$A$1:$G$49,MATCH(orders!$D244,products!$A$1:$A$49,0),MATCH(I$1,products!$A$1:$G$1,0))</f>
        <v>Exc</v>
      </c>
      <c r="J244" t="str">
        <f>INDEX(products!$A$1:$G$49,MATCH(orders!$D244,products!$A$1:$A$49,0),MATCH(J$1,products!$A$1:$G$1,0))</f>
        <v>D</v>
      </c>
      <c r="K244" s="6">
        <f>INDEX(products!$A$1:$G$49,MATCH(orders!$D244,products!$A$1:$A$49,0),MATCH(K$1,products!$A$1:$G$1,0))</f>
        <v>1</v>
      </c>
      <c r="L244" s="7">
        <f>INDEX(products!$A$1:$G$49,MATCH(orders!$D244,products!$A$1:$A$49,0),MATCH(L$1,products!$A$1:$G$1,0))</f>
        <v>12.15</v>
      </c>
      <c r="M244" s="7">
        <f t="shared" si="9"/>
        <v>36.450000000000003</v>
      </c>
      <c r="N244" t="str">
        <f t="shared" si="10"/>
        <v>Excelsa</v>
      </c>
      <c r="O244" t="str">
        <f t="shared" si="11"/>
        <v>Dark</v>
      </c>
      <c r="P244" t="str">
        <f>_xlfn.XLOOKUP(Table1[[#This Row],[Customer ID]],customers!$A$2:$A$1001,customers!$I$2:$I$1001,,0)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INDEX(products!$A$1:$G$49,MATCH(orders!$D245,products!$A$1:$A$49,0),MATCH(I$1,products!$A$1:$G$1,0))</f>
        <v>Exc</v>
      </c>
      <c r="J245" t="str">
        <f>INDEX(products!$A$1:$G$49,MATCH(orders!$D245,products!$A$1:$A$49,0),MATCH(J$1,products!$A$1:$G$1,0))</f>
        <v>D</v>
      </c>
      <c r="K245" s="6">
        <f>INDEX(products!$A$1:$G$49,MATCH(orders!$D245,products!$A$1:$A$49,0),MATCH(K$1,products!$A$1:$G$1,0))</f>
        <v>0.5</v>
      </c>
      <c r="L245" s="7">
        <f>INDEX(products!$A$1:$G$49,MATCH(orders!$D245,products!$A$1:$A$49,0),MATCH(L$1,products!$A$1:$G$1,0))</f>
        <v>7.29</v>
      </c>
      <c r="M245" s="7">
        <f t="shared" si="9"/>
        <v>29.16</v>
      </c>
      <c r="N245" t="str">
        <f t="shared" si="10"/>
        <v>Excelsa</v>
      </c>
      <c r="O245" t="str">
        <f t="shared" si="11"/>
        <v>Dark</v>
      </c>
      <c r="P245" t="str">
        <f>_xlfn.XLOOKUP(Table1[[#This Row],[Customer ID]],customers!$A$2:$A$1001,customers!$I$2:$I$1001,,0)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INDEX(products!$A$1:$G$49,MATCH(orders!$D246,products!$A$1:$A$49,0),MATCH(I$1,products!$A$1:$G$1,0))</f>
        <v>Lib</v>
      </c>
      <c r="J246" t="str">
        <f>INDEX(products!$A$1:$G$49,MATCH(orders!$D246,products!$A$1:$A$49,0),MATCH(J$1,products!$A$1:$G$1,0))</f>
        <v>M</v>
      </c>
      <c r="K246" s="6">
        <f>INDEX(products!$A$1:$G$49,MATCH(orders!$D246,products!$A$1:$A$49,0),MATCH(K$1,products!$A$1:$G$1,0))</f>
        <v>2.5</v>
      </c>
      <c r="L246" s="7">
        <f>INDEX(products!$A$1:$G$49,MATCH(orders!$D246,products!$A$1:$A$49,0),MATCH(L$1,products!$A$1:$G$1,0))</f>
        <v>33.464999999999996</v>
      </c>
      <c r="M246" s="7">
        <f t="shared" si="9"/>
        <v>133.85999999999999</v>
      </c>
      <c r="N246" t="str">
        <f t="shared" si="10"/>
        <v>Liberica</v>
      </c>
      <c r="O246" t="str">
        <f t="shared" si="11"/>
        <v>Medium</v>
      </c>
      <c r="P246" t="str">
        <f>_xlfn.XLOOKUP(Table1[[#This Row],[Customer ID]],customers!$A$2:$A$1001,customers!$I$2:$I$1001,,0)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INDEX(products!$A$1:$G$49,MATCH(orders!$D247,products!$A$1:$A$49,0),MATCH(I$1,products!$A$1:$G$1,0))</f>
        <v>Lib</v>
      </c>
      <c r="J247" t="str">
        <f>INDEX(products!$A$1:$G$49,MATCH(orders!$D247,products!$A$1:$A$49,0),MATCH(J$1,products!$A$1:$G$1,0))</f>
        <v>L</v>
      </c>
      <c r="K247" s="6">
        <f>INDEX(products!$A$1:$G$49,MATCH(orders!$D247,products!$A$1:$A$49,0),MATCH(K$1,products!$A$1:$G$1,0))</f>
        <v>0.2</v>
      </c>
      <c r="L247" s="7">
        <f>INDEX(products!$A$1:$G$49,MATCH(orders!$D247,products!$A$1:$A$49,0),MATCH(L$1,products!$A$1:$G$1,0))</f>
        <v>4.7549999999999999</v>
      </c>
      <c r="M247" s="7">
        <f t="shared" si="9"/>
        <v>23.774999999999999</v>
      </c>
      <c r="N247" t="str">
        <f t="shared" si="10"/>
        <v>Liberica</v>
      </c>
      <c r="O247" t="str">
        <f t="shared" si="11"/>
        <v>Light</v>
      </c>
      <c r="P247" t="str">
        <f>_xlfn.XLOOKUP(Table1[[#This Row],[Customer ID]],customers!$A$2:$A$1001,customers!$I$2:$I$1001,,0)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INDEX(products!$A$1:$G$49,MATCH(orders!$D248,products!$A$1:$A$49,0),MATCH(I$1,products!$A$1:$G$1,0))</f>
        <v>Lib</v>
      </c>
      <c r="J248" t="str">
        <f>INDEX(products!$A$1:$G$49,MATCH(orders!$D248,products!$A$1:$A$49,0),MATCH(J$1,products!$A$1:$G$1,0))</f>
        <v>D</v>
      </c>
      <c r="K248" s="6">
        <f>INDEX(products!$A$1:$G$49,MATCH(orders!$D248,products!$A$1:$A$49,0),MATCH(K$1,products!$A$1:$G$1,0))</f>
        <v>1</v>
      </c>
      <c r="L248" s="7">
        <f>INDEX(products!$A$1:$G$49,MATCH(orders!$D248,products!$A$1:$A$49,0),MATCH(L$1,products!$A$1:$G$1,0))</f>
        <v>12.95</v>
      </c>
      <c r="M248" s="7">
        <f t="shared" si="9"/>
        <v>38.849999999999994</v>
      </c>
      <c r="N248" t="str">
        <f t="shared" si="10"/>
        <v>Liberica</v>
      </c>
      <c r="O248" t="str">
        <f t="shared" si="11"/>
        <v>Dark</v>
      </c>
      <c r="P248" t="str">
        <f>_xlfn.XLOOKUP(Table1[[#This Row],[Customer ID]],customers!$A$2:$A$1001,customers!$I$2:$I$1001,,0)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INDEX(products!$A$1:$G$49,MATCH(orders!$D249,products!$A$1:$A$49,0),MATCH(I$1,products!$A$1:$G$1,0))</f>
        <v>Rob</v>
      </c>
      <c r="J249" t="str">
        <f>INDEX(products!$A$1:$G$49,MATCH(orders!$D249,products!$A$1:$A$49,0),MATCH(J$1,products!$A$1:$G$1,0))</f>
        <v>L</v>
      </c>
      <c r="K249" s="6">
        <f>INDEX(products!$A$1:$G$49,MATCH(orders!$D249,products!$A$1:$A$49,0),MATCH(K$1,products!$A$1:$G$1,0))</f>
        <v>0.2</v>
      </c>
      <c r="L249" s="7">
        <f>INDEX(products!$A$1:$G$49,MATCH(orders!$D249,products!$A$1:$A$49,0),MATCH(L$1,products!$A$1:$G$1,0))</f>
        <v>3.5849999999999995</v>
      </c>
      <c r="M249" s="7">
        <f t="shared" si="9"/>
        <v>21.509999999999998</v>
      </c>
      <c r="N249" t="str">
        <f t="shared" si="10"/>
        <v>Robusta</v>
      </c>
      <c r="O249" t="str">
        <f t="shared" si="11"/>
        <v>Light</v>
      </c>
      <c r="P249" t="str">
        <f>_xlfn.XLOOKUP(Table1[[#This Row],[Customer ID]],customers!$A$2:$A$1001,customers!$I$2:$I$1001,,0)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INDEX(products!$A$1:$G$49,MATCH(orders!$D250,products!$A$1:$A$49,0),MATCH(I$1,products!$A$1:$G$1,0))</f>
        <v>Ara</v>
      </c>
      <c r="J250" t="str">
        <f>INDEX(products!$A$1:$G$49,MATCH(orders!$D250,products!$A$1:$A$49,0),MATCH(J$1,products!$A$1:$G$1,0))</f>
        <v>D</v>
      </c>
      <c r="K250" s="6">
        <f>INDEX(products!$A$1:$G$49,MATCH(orders!$D250,products!$A$1:$A$49,0),MATCH(K$1,products!$A$1:$G$1,0))</f>
        <v>1</v>
      </c>
      <c r="L250" s="7">
        <f>INDEX(products!$A$1:$G$49,MATCH(orders!$D250,products!$A$1:$A$49,0),MATCH(L$1,products!$A$1:$G$1,0))</f>
        <v>9.9499999999999993</v>
      </c>
      <c r="M250" s="7">
        <f t="shared" si="9"/>
        <v>9.9499999999999993</v>
      </c>
      <c r="N250" t="str">
        <f t="shared" si="10"/>
        <v>Arabica</v>
      </c>
      <c r="O250" t="str">
        <f t="shared" si="11"/>
        <v>Dark</v>
      </c>
      <c r="P250" t="str">
        <f>_xlfn.XLOOKUP(Table1[[#This Row],[Customer ID]],customers!$A$2:$A$1001,customers!$I$2:$I$1001,,0)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INDEX(products!$A$1:$G$49,MATCH(orders!$D251,products!$A$1:$A$49,0),MATCH(I$1,products!$A$1:$G$1,0))</f>
        <v>Lib</v>
      </c>
      <c r="J251" t="str">
        <f>INDEX(products!$A$1:$G$49,MATCH(orders!$D251,products!$A$1:$A$49,0),MATCH(J$1,products!$A$1:$G$1,0))</f>
        <v>L</v>
      </c>
      <c r="K251" s="6">
        <f>INDEX(products!$A$1:$G$49,MATCH(orders!$D251,products!$A$1:$A$49,0),MATCH(K$1,products!$A$1:$G$1,0))</f>
        <v>1</v>
      </c>
      <c r="L251" s="7">
        <f>INDEX(products!$A$1:$G$49,MATCH(orders!$D251,products!$A$1:$A$49,0),MATCH(L$1,products!$A$1:$G$1,0))</f>
        <v>15.85</v>
      </c>
      <c r="M251" s="7">
        <f t="shared" si="9"/>
        <v>15.85</v>
      </c>
      <c r="N251" t="str">
        <f t="shared" si="10"/>
        <v>Liberica</v>
      </c>
      <c r="O251" t="str">
        <f t="shared" si="11"/>
        <v>Light</v>
      </c>
      <c r="P251" t="str">
        <f>_xlfn.XLOOKUP(Table1[[#This Row],[Customer ID]],customers!$A$2:$A$1001,customers!$I$2:$I$1001,,0)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INDEX(products!$A$1:$G$49,MATCH(orders!$D252,products!$A$1:$A$49,0),MATCH(I$1,products!$A$1:$G$1,0))</f>
        <v>Rob</v>
      </c>
      <c r="J252" t="str">
        <f>INDEX(products!$A$1:$G$49,MATCH(orders!$D252,products!$A$1:$A$49,0),MATCH(J$1,products!$A$1:$G$1,0))</f>
        <v>M</v>
      </c>
      <c r="K252" s="6">
        <f>INDEX(products!$A$1:$G$49,MATCH(orders!$D252,products!$A$1:$A$49,0),MATCH(K$1,products!$A$1:$G$1,0))</f>
        <v>0.2</v>
      </c>
      <c r="L252" s="7">
        <f>INDEX(products!$A$1:$G$49,MATCH(orders!$D252,products!$A$1:$A$49,0),MATCH(L$1,products!$A$1:$G$1,0))</f>
        <v>2.9849999999999999</v>
      </c>
      <c r="M252" s="7">
        <f t="shared" si="9"/>
        <v>2.9849999999999999</v>
      </c>
      <c r="N252" t="str">
        <f t="shared" si="10"/>
        <v>Robusta</v>
      </c>
      <c r="O252" t="str">
        <f t="shared" si="11"/>
        <v>Medium</v>
      </c>
      <c r="P252" t="str">
        <f>_xlfn.XLOOKUP(Table1[[#This Row],[Customer ID]],customers!$A$2:$A$1001,customers!$I$2:$I$1001,,0)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INDEX(products!$A$1:$G$49,MATCH(orders!$D253,products!$A$1:$A$49,0),MATCH(I$1,products!$A$1:$G$1,0))</f>
        <v>Exc</v>
      </c>
      <c r="J253" t="str">
        <f>INDEX(products!$A$1:$G$49,MATCH(orders!$D253,products!$A$1:$A$49,0),MATCH(J$1,products!$A$1:$G$1,0))</f>
        <v>M</v>
      </c>
      <c r="K253" s="6">
        <f>INDEX(products!$A$1:$G$49,MATCH(orders!$D253,products!$A$1:$A$49,0),MATCH(K$1,products!$A$1:$G$1,0))</f>
        <v>1</v>
      </c>
      <c r="L253" s="7">
        <f>INDEX(products!$A$1:$G$49,MATCH(orders!$D253,products!$A$1:$A$49,0),MATCH(L$1,products!$A$1:$G$1,0))</f>
        <v>13.75</v>
      </c>
      <c r="M253" s="7">
        <f t="shared" si="9"/>
        <v>68.75</v>
      </c>
      <c r="N253" t="str">
        <f t="shared" si="10"/>
        <v>Excelsa</v>
      </c>
      <c r="O253" t="str">
        <f t="shared" si="11"/>
        <v>Medium</v>
      </c>
      <c r="P253" t="str">
        <f>_xlfn.XLOOKUP(Table1[[#This Row],[Customer ID]],customers!$A$2:$A$1001,customers!$I$2:$I$1001,,0)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INDEX(products!$A$1:$G$49,MATCH(orders!$D254,products!$A$1:$A$49,0),MATCH(I$1,products!$A$1:$G$1,0))</f>
        <v>Ara</v>
      </c>
      <c r="J254" t="str">
        <f>INDEX(products!$A$1:$G$49,MATCH(orders!$D254,products!$A$1:$A$49,0),MATCH(J$1,products!$A$1:$G$1,0))</f>
        <v>D</v>
      </c>
      <c r="K254" s="6">
        <f>INDEX(products!$A$1:$G$49,MATCH(orders!$D254,products!$A$1:$A$49,0),MATCH(K$1,products!$A$1:$G$1,0))</f>
        <v>1</v>
      </c>
      <c r="L254" s="7">
        <f>INDEX(products!$A$1:$G$49,MATCH(orders!$D254,products!$A$1:$A$49,0),MATCH(L$1,products!$A$1:$G$1,0))</f>
        <v>9.9499999999999993</v>
      </c>
      <c r="M254" s="7">
        <f t="shared" si="9"/>
        <v>29.849999999999998</v>
      </c>
      <c r="N254" t="str">
        <f t="shared" si="10"/>
        <v>Arabica</v>
      </c>
      <c r="O254" t="str">
        <f t="shared" si="11"/>
        <v>Dark</v>
      </c>
      <c r="P254" t="str">
        <f>_xlfn.XLOOKUP(Table1[[#This Row],[Customer ID]],customers!$A$2:$A$1001,customers!$I$2:$I$1001,,0)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INDEX(products!$A$1:$G$49,MATCH(orders!$D255,products!$A$1:$A$49,0),MATCH(I$1,products!$A$1:$G$1,0))</f>
        <v>Lib</v>
      </c>
      <c r="J255" t="str">
        <f>INDEX(products!$A$1:$G$49,MATCH(orders!$D255,products!$A$1:$A$49,0),MATCH(J$1,products!$A$1:$G$1,0))</f>
        <v>M</v>
      </c>
      <c r="K255" s="6">
        <f>INDEX(products!$A$1:$G$49,MATCH(orders!$D255,products!$A$1:$A$49,0),MATCH(K$1,products!$A$1:$G$1,0))</f>
        <v>1</v>
      </c>
      <c r="L255" s="7">
        <f>INDEX(products!$A$1:$G$49,MATCH(orders!$D255,products!$A$1:$A$49,0),MATCH(L$1,products!$A$1:$G$1,0))</f>
        <v>14.55</v>
      </c>
      <c r="M255" s="7">
        <f t="shared" si="9"/>
        <v>58.2</v>
      </c>
      <c r="N255" t="str">
        <f t="shared" si="10"/>
        <v>Liberica</v>
      </c>
      <c r="O255" t="str">
        <f t="shared" si="11"/>
        <v>Medium</v>
      </c>
      <c r="P255" t="str">
        <f>_xlfn.XLOOKUP(Table1[[#This Row],[Customer ID]],customers!$A$2:$A$1001,customers!$I$2:$I$1001,,0)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INDEX(products!$A$1:$G$49,MATCH(orders!$D256,products!$A$1:$A$49,0),MATCH(I$1,products!$A$1:$G$1,0))</f>
        <v>Rob</v>
      </c>
      <c r="J256" t="str">
        <f>INDEX(products!$A$1:$G$49,MATCH(orders!$D256,products!$A$1:$A$49,0),MATCH(J$1,products!$A$1:$G$1,0))</f>
        <v>L</v>
      </c>
      <c r="K256" s="6">
        <f>INDEX(products!$A$1:$G$49,MATCH(orders!$D256,products!$A$1:$A$49,0),MATCH(K$1,products!$A$1:$G$1,0))</f>
        <v>0.5</v>
      </c>
      <c r="L256" s="7">
        <f>INDEX(products!$A$1:$G$49,MATCH(orders!$D256,products!$A$1:$A$49,0),MATCH(L$1,products!$A$1:$G$1,0))</f>
        <v>7.169999999999999</v>
      </c>
      <c r="M256" s="7">
        <f t="shared" si="9"/>
        <v>28.679999999999996</v>
      </c>
      <c r="N256" t="str">
        <f t="shared" si="10"/>
        <v>Robusta</v>
      </c>
      <c r="O256" t="str">
        <f t="shared" si="11"/>
        <v>Light</v>
      </c>
      <c r="P256" t="str">
        <f>_xlfn.XLOOKUP(Table1[[#This Row],[Customer ID]],customers!$A$2:$A$1001,customers!$I$2:$I$1001,,0)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INDEX(products!$A$1:$G$49,MATCH(orders!$D257,products!$A$1:$A$49,0),MATCH(I$1,products!$A$1:$G$1,0))</f>
        <v>Rob</v>
      </c>
      <c r="J257" t="str">
        <f>INDEX(products!$A$1:$G$49,MATCH(orders!$D257,products!$A$1:$A$49,0),MATCH(J$1,products!$A$1:$G$1,0))</f>
        <v>L</v>
      </c>
      <c r="K257" s="6">
        <f>INDEX(products!$A$1:$G$49,MATCH(orders!$D257,products!$A$1:$A$49,0),MATCH(K$1,products!$A$1:$G$1,0))</f>
        <v>0.5</v>
      </c>
      <c r="L257" s="7">
        <f>INDEX(products!$A$1:$G$49,MATCH(orders!$D257,products!$A$1:$A$49,0),MATCH(L$1,products!$A$1:$G$1,0))</f>
        <v>7.169999999999999</v>
      </c>
      <c r="M257" s="7">
        <f t="shared" si="9"/>
        <v>21.509999999999998</v>
      </c>
      <c r="N257" t="str">
        <f t="shared" si="10"/>
        <v>Robusta</v>
      </c>
      <c r="O257" t="str">
        <f t="shared" si="11"/>
        <v>Light</v>
      </c>
      <c r="P257" t="str">
        <f>_xlfn.XLOOKUP(Table1[[#This Row],[Customer ID]],customers!$A$2:$A$1001,customers!$I$2:$I$1001,,0)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INDEX(products!$A$1:$G$49,MATCH(orders!$D258,products!$A$1:$A$49,0),MATCH(I$1,products!$A$1:$G$1,0))</f>
        <v>Lib</v>
      </c>
      <c r="J258" t="str">
        <f>INDEX(products!$A$1:$G$49,MATCH(orders!$D258,products!$A$1:$A$49,0),MATCH(J$1,products!$A$1:$G$1,0))</f>
        <v>M</v>
      </c>
      <c r="K258" s="6">
        <f>INDEX(products!$A$1:$G$49,MATCH(orders!$D258,products!$A$1:$A$49,0),MATCH(K$1,products!$A$1:$G$1,0))</f>
        <v>0.5</v>
      </c>
      <c r="L258" s="7">
        <f>INDEX(products!$A$1:$G$49,MATCH(orders!$D258,products!$A$1:$A$49,0),MATCH(L$1,products!$A$1:$G$1,0))</f>
        <v>8.73</v>
      </c>
      <c r="M258" s="7">
        <f t="shared" si="9"/>
        <v>17.46</v>
      </c>
      <c r="N258" t="str">
        <f t="shared" si="10"/>
        <v>Liberica</v>
      </c>
      <c r="O258" t="str">
        <f t="shared" si="11"/>
        <v>Medium</v>
      </c>
      <c r="P258" t="str">
        <f>_xlfn.XLOOKUP(Table1[[#This Row],[Customer ID]],customers!$A$2:$A$1001,customers!$I$2:$I$1001,,0)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INDEX(products!$A$1:$G$49,MATCH(orders!$D259,products!$A$1:$A$49,0),MATCH(I$1,products!$A$1:$G$1,0))</f>
        <v>Exc</v>
      </c>
      <c r="J259" t="str">
        <f>INDEX(products!$A$1:$G$49,MATCH(orders!$D259,products!$A$1:$A$49,0),MATCH(J$1,products!$A$1:$G$1,0))</f>
        <v>D</v>
      </c>
      <c r="K259" s="6">
        <f>INDEX(products!$A$1:$G$49,MATCH(orders!$D259,products!$A$1:$A$49,0),MATCH(K$1,products!$A$1:$G$1,0))</f>
        <v>2.5</v>
      </c>
      <c r="L259" s="7">
        <f>INDEX(products!$A$1:$G$49,MATCH(orders!$D259,products!$A$1:$A$49,0),MATCH(L$1,products!$A$1:$G$1,0))</f>
        <v>27.945</v>
      </c>
      <c r="M259" s="7">
        <f t="shared" ref="M259:M322" si="12">L259*E259</f>
        <v>27.945</v>
      </c>
      <c r="N259" t="str">
        <f t="shared" ref="N259:N322" si="13">IF(I259="Rob","Robusta",IF(I259="Exc","Excelsa",IF(I259="Ara","Arabica",IF(I259="Lib","Liberica",""))))</f>
        <v>Excelsa</v>
      </c>
      <c r="O259" t="str">
        <f t="shared" ref="O259:O322" si="14">IF(J259="M","Medium",IF(J259="L","Light",IF(J259="D","Dark","")))</f>
        <v>Dark</v>
      </c>
      <c r="P259" t="str">
        <f>_xlfn.XLOOKUP(Table1[[#This Row],[Customer ID]],customers!$A$2:$A$1001,customers!$I$2:$I$1001,,0)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INDEX(products!$A$1:$G$49,MATCH(orders!$D260,products!$A$1:$A$49,0),MATCH(I$1,products!$A$1:$G$1,0))</f>
        <v>Exc</v>
      </c>
      <c r="J260" t="str">
        <f>INDEX(products!$A$1:$G$49,MATCH(orders!$D260,products!$A$1:$A$49,0),MATCH(J$1,products!$A$1:$G$1,0))</f>
        <v>D</v>
      </c>
      <c r="K260" s="6">
        <f>INDEX(products!$A$1:$G$49,MATCH(orders!$D260,products!$A$1:$A$49,0),MATCH(K$1,products!$A$1:$G$1,0))</f>
        <v>2.5</v>
      </c>
      <c r="L260" s="7">
        <f>INDEX(products!$A$1:$G$49,MATCH(orders!$D260,products!$A$1:$A$49,0),MATCH(L$1,products!$A$1:$G$1,0))</f>
        <v>27.945</v>
      </c>
      <c r="M260" s="7">
        <f t="shared" si="12"/>
        <v>139.72499999999999</v>
      </c>
      <c r="N260" t="str">
        <f t="shared" si="13"/>
        <v>Excelsa</v>
      </c>
      <c r="O260" t="str">
        <f t="shared" si="14"/>
        <v>Dark</v>
      </c>
      <c r="P260" t="str">
        <f>_xlfn.XLOOKUP(Table1[[#This Row],[Customer ID]],customers!$A$2:$A$1001,customers!$I$2:$I$1001,,0)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INDEX(products!$A$1:$G$49,MATCH(orders!$D261,products!$A$1:$A$49,0),MATCH(I$1,products!$A$1:$G$1,0))</f>
        <v>Rob</v>
      </c>
      <c r="J261" t="str">
        <f>INDEX(products!$A$1:$G$49,MATCH(orders!$D261,products!$A$1:$A$49,0),MATCH(J$1,products!$A$1:$G$1,0))</f>
        <v>M</v>
      </c>
      <c r="K261" s="6">
        <f>INDEX(products!$A$1:$G$49,MATCH(orders!$D261,products!$A$1:$A$49,0),MATCH(K$1,products!$A$1:$G$1,0))</f>
        <v>0.2</v>
      </c>
      <c r="L261" s="7">
        <f>INDEX(products!$A$1:$G$49,MATCH(orders!$D261,products!$A$1:$A$49,0),MATCH(L$1,products!$A$1:$G$1,0))</f>
        <v>2.9849999999999999</v>
      </c>
      <c r="M261" s="7">
        <f t="shared" si="12"/>
        <v>5.97</v>
      </c>
      <c r="N261" t="str">
        <f t="shared" si="13"/>
        <v>Robusta</v>
      </c>
      <c r="O261" t="str">
        <f t="shared" si="14"/>
        <v>Medium</v>
      </c>
      <c r="P261" t="str">
        <f>_xlfn.XLOOKUP(Table1[[#This Row],[Customer ID]],customers!$A$2:$A$1001,customers!$I$2:$I$1001,,0)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INDEX(products!$A$1:$G$49,MATCH(orders!$D262,products!$A$1:$A$49,0),MATCH(I$1,products!$A$1:$G$1,0))</f>
        <v>Rob</v>
      </c>
      <c r="J262" t="str">
        <f>INDEX(products!$A$1:$G$49,MATCH(orders!$D262,products!$A$1:$A$49,0),MATCH(J$1,products!$A$1:$G$1,0))</f>
        <v>L</v>
      </c>
      <c r="K262" s="6">
        <f>INDEX(products!$A$1:$G$49,MATCH(orders!$D262,products!$A$1:$A$49,0),MATCH(K$1,products!$A$1:$G$1,0))</f>
        <v>2.5</v>
      </c>
      <c r="L262" s="7">
        <f>INDEX(products!$A$1:$G$49,MATCH(orders!$D262,products!$A$1:$A$49,0),MATCH(L$1,products!$A$1:$G$1,0))</f>
        <v>27.484999999999996</v>
      </c>
      <c r="M262" s="7">
        <f t="shared" si="12"/>
        <v>27.484999999999996</v>
      </c>
      <c r="N262" t="str">
        <f t="shared" si="13"/>
        <v>Robusta</v>
      </c>
      <c r="O262" t="str">
        <f t="shared" si="14"/>
        <v>Light</v>
      </c>
      <c r="P262" t="str">
        <f>_xlfn.XLOOKUP(Table1[[#This Row],[Customer ID]],customers!$A$2:$A$1001,customers!$I$2:$I$1001,,0)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INDEX(products!$A$1:$G$49,MATCH(orders!$D263,products!$A$1:$A$49,0),MATCH(I$1,products!$A$1:$G$1,0))</f>
        <v>Rob</v>
      </c>
      <c r="J263" t="str">
        <f>INDEX(products!$A$1:$G$49,MATCH(orders!$D263,products!$A$1:$A$49,0),MATCH(J$1,products!$A$1:$G$1,0))</f>
        <v>L</v>
      </c>
      <c r="K263" s="6">
        <f>INDEX(products!$A$1:$G$49,MATCH(orders!$D263,products!$A$1:$A$49,0),MATCH(K$1,products!$A$1:$G$1,0))</f>
        <v>1</v>
      </c>
      <c r="L263" s="7">
        <f>INDEX(products!$A$1:$G$49,MATCH(orders!$D263,products!$A$1:$A$49,0),MATCH(L$1,products!$A$1:$G$1,0))</f>
        <v>11.95</v>
      </c>
      <c r="M263" s="7">
        <f t="shared" si="12"/>
        <v>59.75</v>
      </c>
      <c r="N263" t="str">
        <f t="shared" si="13"/>
        <v>Robusta</v>
      </c>
      <c r="O263" t="str">
        <f t="shared" si="14"/>
        <v>Light</v>
      </c>
      <c r="P263" t="str">
        <f>_xlfn.XLOOKUP(Table1[[#This Row],[Customer ID]],customers!$A$2:$A$1001,customers!$I$2:$I$1001,,0)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INDEX(products!$A$1:$G$49,MATCH(orders!$D264,products!$A$1:$A$49,0),MATCH(I$1,products!$A$1:$G$1,0))</f>
        <v>Exc</v>
      </c>
      <c r="J264" t="str">
        <f>INDEX(products!$A$1:$G$49,MATCH(orders!$D264,products!$A$1:$A$49,0),MATCH(J$1,products!$A$1:$G$1,0))</f>
        <v>M</v>
      </c>
      <c r="K264" s="6">
        <f>INDEX(products!$A$1:$G$49,MATCH(orders!$D264,products!$A$1:$A$49,0),MATCH(K$1,products!$A$1:$G$1,0))</f>
        <v>1</v>
      </c>
      <c r="L264" s="7">
        <f>INDEX(products!$A$1:$G$49,MATCH(orders!$D264,products!$A$1:$A$49,0),MATCH(L$1,products!$A$1:$G$1,0))</f>
        <v>13.75</v>
      </c>
      <c r="M264" s="7">
        <f t="shared" si="12"/>
        <v>41.25</v>
      </c>
      <c r="N264" t="str">
        <f t="shared" si="13"/>
        <v>Excelsa</v>
      </c>
      <c r="O264" t="str">
        <f t="shared" si="14"/>
        <v>Medium</v>
      </c>
      <c r="P264" t="str">
        <f>_xlfn.XLOOKUP(Table1[[#This Row],[Customer ID]],customers!$A$2:$A$1001,customers!$I$2:$I$1001,,0)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INDEX(products!$A$1:$G$49,MATCH(orders!$D265,products!$A$1:$A$49,0),MATCH(I$1,products!$A$1:$G$1,0))</f>
        <v>Lib</v>
      </c>
      <c r="J265" t="str">
        <f>INDEX(products!$A$1:$G$49,MATCH(orders!$D265,products!$A$1:$A$49,0),MATCH(J$1,products!$A$1:$G$1,0))</f>
        <v>M</v>
      </c>
      <c r="K265" s="6">
        <f>INDEX(products!$A$1:$G$49,MATCH(orders!$D265,products!$A$1:$A$49,0),MATCH(K$1,products!$A$1:$G$1,0))</f>
        <v>2.5</v>
      </c>
      <c r="L265" s="7">
        <f>INDEX(products!$A$1:$G$49,MATCH(orders!$D265,products!$A$1:$A$49,0),MATCH(L$1,products!$A$1:$G$1,0))</f>
        <v>33.464999999999996</v>
      </c>
      <c r="M265" s="7">
        <f t="shared" si="12"/>
        <v>133.85999999999999</v>
      </c>
      <c r="N265" t="str">
        <f t="shared" si="13"/>
        <v>Liberica</v>
      </c>
      <c r="O265" t="str">
        <f t="shared" si="14"/>
        <v>Medium</v>
      </c>
      <c r="P265" t="str">
        <f>_xlfn.XLOOKUP(Table1[[#This Row],[Customer ID]],customers!$A$2:$A$1001,customers!$I$2:$I$1001,,0)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INDEX(products!$A$1:$G$49,MATCH(orders!$D266,products!$A$1:$A$49,0),MATCH(I$1,products!$A$1:$G$1,0))</f>
        <v>Rob</v>
      </c>
      <c r="J266" t="str">
        <f>INDEX(products!$A$1:$G$49,MATCH(orders!$D266,products!$A$1:$A$49,0),MATCH(J$1,products!$A$1:$G$1,0))</f>
        <v>L</v>
      </c>
      <c r="K266" s="6">
        <f>INDEX(products!$A$1:$G$49,MATCH(orders!$D266,products!$A$1:$A$49,0),MATCH(K$1,products!$A$1:$G$1,0))</f>
        <v>1</v>
      </c>
      <c r="L266" s="7">
        <f>INDEX(products!$A$1:$G$49,MATCH(orders!$D266,products!$A$1:$A$49,0),MATCH(L$1,products!$A$1:$G$1,0))</f>
        <v>11.95</v>
      </c>
      <c r="M266" s="7">
        <f t="shared" si="12"/>
        <v>59.75</v>
      </c>
      <c r="N266" t="str">
        <f t="shared" si="13"/>
        <v>Robusta</v>
      </c>
      <c r="O266" t="str">
        <f t="shared" si="14"/>
        <v>Light</v>
      </c>
      <c r="P266" t="str">
        <f>_xlfn.XLOOKUP(Table1[[#This Row],[Customer ID]],customers!$A$2:$A$1001,customers!$I$2:$I$1001,,0)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INDEX(products!$A$1:$G$49,MATCH(orders!$D267,products!$A$1:$A$49,0),MATCH(I$1,products!$A$1:$G$1,0))</f>
        <v>Ara</v>
      </c>
      <c r="J267" t="str">
        <f>INDEX(products!$A$1:$G$49,MATCH(orders!$D267,products!$A$1:$A$49,0),MATCH(J$1,products!$A$1:$G$1,0))</f>
        <v>D</v>
      </c>
      <c r="K267" s="6">
        <f>INDEX(products!$A$1:$G$49,MATCH(orders!$D267,products!$A$1:$A$49,0),MATCH(K$1,products!$A$1:$G$1,0))</f>
        <v>0.5</v>
      </c>
      <c r="L267" s="7">
        <f>INDEX(products!$A$1:$G$49,MATCH(orders!$D267,products!$A$1:$A$49,0),MATCH(L$1,products!$A$1:$G$1,0))</f>
        <v>5.97</v>
      </c>
      <c r="M267" s="7">
        <f t="shared" si="12"/>
        <v>5.97</v>
      </c>
      <c r="N267" t="str">
        <f t="shared" si="13"/>
        <v>Arabica</v>
      </c>
      <c r="O267" t="str">
        <f t="shared" si="14"/>
        <v>Dark</v>
      </c>
      <c r="P267" t="str">
        <f>_xlfn.XLOOKUP(Table1[[#This Row],[Customer ID]],customers!$A$2:$A$1001,customers!$I$2:$I$1001,,0)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INDEX(products!$A$1:$G$49,MATCH(orders!$D268,products!$A$1:$A$49,0),MATCH(I$1,products!$A$1:$G$1,0))</f>
        <v>Exc</v>
      </c>
      <c r="J268" t="str">
        <f>INDEX(products!$A$1:$G$49,MATCH(orders!$D268,products!$A$1:$A$49,0),MATCH(J$1,products!$A$1:$G$1,0))</f>
        <v>D</v>
      </c>
      <c r="K268" s="6">
        <f>INDEX(products!$A$1:$G$49,MATCH(orders!$D268,products!$A$1:$A$49,0),MATCH(K$1,products!$A$1:$G$1,0))</f>
        <v>1</v>
      </c>
      <c r="L268" s="7">
        <f>INDEX(products!$A$1:$G$49,MATCH(orders!$D268,products!$A$1:$A$49,0),MATCH(L$1,products!$A$1:$G$1,0))</f>
        <v>12.15</v>
      </c>
      <c r="M268" s="7">
        <f t="shared" si="12"/>
        <v>24.3</v>
      </c>
      <c r="N268" t="str">
        <f t="shared" si="13"/>
        <v>Excelsa</v>
      </c>
      <c r="O268" t="str">
        <f t="shared" si="14"/>
        <v>Dark</v>
      </c>
      <c r="P268" t="str">
        <f>_xlfn.XLOOKUP(Table1[[#This Row],[Customer ID]],customers!$A$2:$A$1001,customers!$I$2:$I$1001,,0)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INDEX(products!$A$1:$G$49,MATCH(orders!$D269,products!$A$1:$A$49,0),MATCH(I$1,products!$A$1:$G$1,0))</f>
        <v>Exc</v>
      </c>
      <c r="J269" t="str">
        <f>INDEX(products!$A$1:$G$49,MATCH(orders!$D269,products!$A$1:$A$49,0),MATCH(J$1,products!$A$1:$G$1,0))</f>
        <v>D</v>
      </c>
      <c r="K269" s="6">
        <f>INDEX(products!$A$1:$G$49,MATCH(orders!$D269,products!$A$1:$A$49,0),MATCH(K$1,products!$A$1:$G$1,0))</f>
        <v>0.2</v>
      </c>
      <c r="L269" s="7">
        <f>INDEX(products!$A$1:$G$49,MATCH(orders!$D269,products!$A$1:$A$49,0),MATCH(L$1,products!$A$1:$G$1,0))</f>
        <v>3.645</v>
      </c>
      <c r="M269" s="7">
        <f t="shared" si="12"/>
        <v>21.87</v>
      </c>
      <c r="N269" t="str">
        <f t="shared" si="13"/>
        <v>Excelsa</v>
      </c>
      <c r="O269" t="str">
        <f t="shared" si="14"/>
        <v>Dark</v>
      </c>
      <c r="P269" t="str">
        <f>_xlfn.XLOOKUP(Table1[[#This Row],[Customer ID]],customers!$A$2:$A$1001,customers!$I$2:$I$1001,,0)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INDEX(products!$A$1:$G$49,MATCH(orders!$D270,products!$A$1:$A$49,0),MATCH(I$1,products!$A$1:$G$1,0))</f>
        <v>Ara</v>
      </c>
      <c r="J270" t="str">
        <f>INDEX(products!$A$1:$G$49,MATCH(orders!$D270,products!$A$1:$A$49,0),MATCH(J$1,products!$A$1:$G$1,0))</f>
        <v>D</v>
      </c>
      <c r="K270" s="6">
        <f>INDEX(products!$A$1:$G$49,MATCH(orders!$D270,products!$A$1:$A$49,0),MATCH(K$1,products!$A$1:$G$1,0))</f>
        <v>1</v>
      </c>
      <c r="L270" s="7">
        <f>INDEX(products!$A$1:$G$49,MATCH(orders!$D270,products!$A$1:$A$49,0),MATCH(L$1,products!$A$1:$G$1,0))</f>
        <v>9.9499999999999993</v>
      </c>
      <c r="M270" s="7">
        <f t="shared" si="12"/>
        <v>19.899999999999999</v>
      </c>
      <c r="N270" t="str">
        <f t="shared" si="13"/>
        <v>Arabica</v>
      </c>
      <c r="O270" t="str">
        <f t="shared" si="14"/>
        <v>Dark</v>
      </c>
      <c r="P270" t="str">
        <f>_xlfn.XLOOKUP(Table1[[#This Row],[Customer ID]],customers!$A$2:$A$1001,customers!$I$2:$I$1001,,0)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INDEX(products!$A$1:$G$49,MATCH(orders!$D271,products!$A$1:$A$49,0),MATCH(I$1,products!$A$1:$G$1,0))</f>
        <v>Ara</v>
      </c>
      <c r="J271" t="str">
        <f>INDEX(products!$A$1:$G$49,MATCH(orders!$D271,products!$A$1:$A$49,0),MATCH(J$1,products!$A$1:$G$1,0))</f>
        <v>D</v>
      </c>
      <c r="K271" s="6">
        <f>INDEX(products!$A$1:$G$49,MATCH(orders!$D271,products!$A$1:$A$49,0),MATCH(K$1,products!$A$1:$G$1,0))</f>
        <v>0.2</v>
      </c>
      <c r="L271" s="7">
        <f>INDEX(products!$A$1:$G$49,MATCH(orders!$D271,products!$A$1:$A$49,0),MATCH(L$1,products!$A$1:$G$1,0))</f>
        <v>2.9849999999999999</v>
      </c>
      <c r="M271" s="7">
        <f t="shared" si="12"/>
        <v>5.97</v>
      </c>
      <c r="N271" t="str">
        <f t="shared" si="13"/>
        <v>Arabica</v>
      </c>
      <c r="O271" t="str">
        <f t="shared" si="14"/>
        <v>Dark</v>
      </c>
      <c r="P271" t="str">
        <f>_xlfn.XLOOKUP(Table1[[#This Row],[Customer ID]],customers!$A$2:$A$1001,customers!$I$2:$I$1001,,0)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INDEX(products!$A$1:$G$49,MATCH(orders!$D272,products!$A$1:$A$49,0),MATCH(I$1,products!$A$1:$G$1,0))</f>
        <v>Exc</v>
      </c>
      <c r="J272" t="str">
        <f>INDEX(products!$A$1:$G$49,MATCH(orders!$D272,products!$A$1:$A$49,0),MATCH(J$1,products!$A$1:$G$1,0))</f>
        <v>D</v>
      </c>
      <c r="K272" s="6">
        <f>INDEX(products!$A$1:$G$49,MATCH(orders!$D272,products!$A$1:$A$49,0),MATCH(K$1,products!$A$1:$G$1,0))</f>
        <v>0.5</v>
      </c>
      <c r="L272" s="7">
        <f>INDEX(products!$A$1:$G$49,MATCH(orders!$D272,products!$A$1:$A$49,0),MATCH(L$1,products!$A$1:$G$1,0))</f>
        <v>7.29</v>
      </c>
      <c r="M272" s="7">
        <f t="shared" si="12"/>
        <v>7.29</v>
      </c>
      <c r="N272" t="str">
        <f t="shared" si="13"/>
        <v>Excelsa</v>
      </c>
      <c r="O272" t="str">
        <f t="shared" si="14"/>
        <v>Dark</v>
      </c>
      <c r="P272" t="str">
        <f>_xlfn.XLOOKUP(Table1[[#This Row],[Customer ID]],customers!$A$2:$A$1001,customers!$I$2:$I$1001,,0)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INDEX(products!$A$1:$G$49,MATCH(orders!$D273,products!$A$1:$A$49,0),MATCH(I$1,products!$A$1:$G$1,0))</f>
        <v>Ara</v>
      </c>
      <c r="J273" t="str">
        <f>INDEX(products!$A$1:$G$49,MATCH(orders!$D273,products!$A$1:$A$49,0),MATCH(J$1,products!$A$1:$G$1,0))</f>
        <v>D</v>
      </c>
      <c r="K273" s="6">
        <f>INDEX(products!$A$1:$G$49,MATCH(orders!$D273,products!$A$1:$A$49,0),MATCH(K$1,products!$A$1:$G$1,0))</f>
        <v>0.2</v>
      </c>
      <c r="L273" s="7">
        <f>INDEX(products!$A$1:$G$49,MATCH(orders!$D273,products!$A$1:$A$49,0),MATCH(L$1,products!$A$1:$G$1,0))</f>
        <v>2.9849999999999999</v>
      </c>
      <c r="M273" s="7">
        <f t="shared" si="12"/>
        <v>11.94</v>
      </c>
      <c r="N273" t="str">
        <f t="shared" si="13"/>
        <v>Arabica</v>
      </c>
      <c r="O273" t="str">
        <f t="shared" si="14"/>
        <v>Dark</v>
      </c>
      <c r="P273" t="str">
        <f>_xlfn.XLOOKUP(Table1[[#This Row],[Customer ID]],customers!$A$2:$A$1001,customers!$I$2:$I$1001,,0)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INDEX(products!$A$1:$G$49,MATCH(orders!$D274,products!$A$1:$A$49,0),MATCH(I$1,products!$A$1:$G$1,0))</f>
        <v>Rob</v>
      </c>
      <c r="J274" t="str">
        <f>INDEX(products!$A$1:$G$49,MATCH(orders!$D274,products!$A$1:$A$49,0),MATCH(J$1,products!$A$1:$G$1,0))</f>
        <v>L</v>
      </c>
      <c r="K274" s="6">
        <f>INDEX(products!$A$1:$G$49,MATCH(orders!$D274,products!$A$1:$A$49,0),MATCH(K$1,products!$A$1:$G$1,0))</f>
        <v>1</v>
      </c>
      <c r="L274" s="7">
        <f>INDEX(products!$A$1:$G$49,MATCH(orders!$D274,products!$A$1:$A$49,0),MATCH(L$1,products!$A$1:$G$1,0))</f>
        <v>11.95</v>
      </c>
      <c r="M274" s="7">
        <f t="shared" si="12"/>
        <v>71.699999999999989</v>
      </c>
      <c r="N274" t="str">
        <f t="shared" si="13"/>
        <v>Robusta</v>
      </c>
      <c r="O274" t="str">
        <f t="shared" si="14"/>
        <v>Light</v>
      </c>
      <c r="P274" t="str">
        <f>_xlfn.XLOOKUP(Table1[[#This Row],[Customer ID]],customers!$A$2:$A$1001,customers!$I$2:$I$1001,,0)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INDEX(products!$A$1:$G$49,MATCH(orders!$D275,products!$A$1:$A$49,0),MATCH(I$1,products!$A$1:$G$1,0))</f>
        <v>Ara</v>
      </c>
      <c r="J275" t="str">
        <f>INDEX(products!$A$1:$G$49,MATCH(orders!$D275,products!$A$1:$A$49,0),MATCH(J$1,products!$A$1:$G$1,0))</f>
        <v>L</v>
      </c>
      <c r="K275" s="6">
        <f>INDEX(products!$A$1:$G$49,MATCH(orders!$D275,products!$A$1:$A$49,0),MATCH(K$1,products!$A$1:$G$1,0))</f>
        <v>0.2</v>
      </c>
      <c r="L275" s="7">
        <f>INDEX(products!$A$1:$G$49,MATCH(orders!$D275,products!$A$1:$A$49,0),MATCH(L$1,products!$A$1:$G$1,0))</f>
        <v>3.8849999999999998</v>
      </c>
      <c r="M275" s="7">
        <f t="shared" si="12"/>
        <v>7.77</v>
      </c>
      <c r="N275" t="str">
        <f t="shared" si="13"/>
        <v>Arabica</v>
      </c>
      <c r="O275" t="str">
        <f t="shared" si="14"/>
        <v>Light</v>
      </c>
      <c r="P275" t="str">
        <f>_xlfn.XLOOKUP(Table1[[#This Row],[Customer ID]],customers!$A$2:$A$1001,customers!$I$2:$I$1001,,0)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INDEX(products!$A$1:$G$49,MATCH(orders!$D276,products!$A$1:$A$49,0),MATCH(I$1,products!$A$1:$G$1,0))</f>
        <v>Ara</v>
      </c>
      <c r="J276" t="str">
        <f>INDEX(products!$A$1:$G$49,MATCH(orders!$D276,products!$A$1:$A$49,0),MATCH(J$1,products!$A$1:$G$1,0))</f>
        <v>M</v>
      </c>
      <c r="K276" s="6">
        <f>INDEX(products!$A$1:$G$49,MATCH(orders!$D276,products!$A$1:$A$49,0),MATCH(K$1,products!$A$1:$G$1,0))</f>
        <v>2.5</v>
      </c>
      <c r="L276" s="7">
        <f>INDEX(products!$A$1:$G$49,MATCH(orders!$D276,products!$A$1:$A$49,0),MATCH(L$1,products!$A$1:$G$1,0))</f>
        <v>25.874999999999996</v>
      </c>
      <c r="M276" s="7">
        <f t="shared" si="12"/>
        <v>25.874999999999996</v>
      </c>
      <c r="N276" t="str">
        <f t="shared" si="13"/>
        <v>Arabica</v>
      </c>
      <c r="O276" t="str">
        <f t="shared" si="14"/>
        <v>Medium</v>
      </c>
      <c r="P276" t="str">
        <f>_xlfn.XLOOKUP(Table1[[#This Row],[Customer ID]],customers!$A$2:$A$1001,customers!$I$2:$I$1001,,0)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INDEX(products!$A$1:$G$49,MATCH(orders!$D277,products!$A$1:$A$49,0),MATCH(I$1,products!$A$1:$G$1,0))</f>
        <v>Exc</v>
      </c>
      <c r="J277" t="str">
        <f>INDEX(products!$A$1:$G$49,MATCH(orders!$D277,products!$A$1:$A$49,0),MATCH(J$1,products!$A$1:$G$1,0))</f>
        <v>L</v>
      </c>
      <c r="K277" s="6">
        <f>INDEX(products!$A$1:$G$49,MATCH(orders!$D277,products!$A$1:$A$49,0),MATCH(K$1,products!$A$1:$G$1,0))</f>
        <v>2.5</v>
      </c>
      <c r="L277" s="7">
        <f>INDEX(products!$A$1:$G$49,MATCH(orders!$D277,products!$A$1:$A$49,0),MATCH(L$1,products!$A$1:$G$1,0))</f>
        <v>34.154999999999994</v>
      </c>
      <c r="M277" s="7">
        <f t="shared" si="12"/>
        <v>204.92999999999995</v>
      </c>
      <c r="N277" t="str">
        <f t="shared" si="13"/>
        <v>Excelsa</v>
      </c>
      <c r="O277" t="str">
        <f t="shared" si="14"/>
        <v>Light</v>
      </c>
      <c r="P277" t="str">
        <f>_xlfn.XLOOKUP(Table1[[#This Row],[Customer ID]],customers!$A$2:$A$1001,customers!$I$2:$I$1001,,0)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INDEX(products!$A$1:$G$49,MATCH(orders!$D278,products!$A$1:$A$49,0),MATCH(I$1,products!$A$1:$G$1,0))</f>
        <v>Rob</v>
      </c>
      <c r="J278" t="str">
        <f>INDEX(products!$A$1:$G$49,MATCH(orders!$D278,products!$A$1:$A$49,0),MATCH(J$1,products!$A$1:$G$1,0))</f>
        <v>L</v>
      </c>
      <c r="K278" s="6">
        <f>INDEX(products!$A$1:$G$49,MATCH(orders!$D278,products!$A$1:$A$49,0),MATCH(K$1,products!$A$1:$G$1,0))</f>
        <v>2.5</v>
      </c>
      <c r="L278" s="7">
        <f>INDEX(products!$A$1:$G$49,MATCH(orders!$D278,products!$A$1:$A$49,0),MATCH(L$1,products!$A$1:$G$1,0))</f>
        <v>27.484999999999996</v>
      </c>
      <c r="M278" s="7">
        <f t="shared" si="12"/>
        <v>109.93999999999998</v>
      </c>
      <c r="N278" t="str">
        <f t="shared" si="13"/>
        <v>Robusta</v>
      </c>
      <c r="O278" t="str">
        <f t="shared" si="14"/>
        <v>Light</v>
      </c>
      <c r="P278" t="str">
        <f>_xlfn.XLOOKUP(Table1[[#This Row],[Customer ID]],customers!$A$2:$A$1001,customers!$I$2:$I$1001,,0)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INDEX(products!$A$1:$G$49,MATCH(orders!$D279,products!$A$1:$A$49,0),MATCH(I$1,products!$A$1:$G$1,0))</f>
        <v>Exc</v>
      </c>
      <c r="J279" t="str">
        <f>INDEX(products!$A$1:$G$49,MATCH(orders!$D279,products!$A$1:$A$49,0),MATCH(J$1,products!$A$1:$G$1,0))</f>
        <v>L</v>
      </c>
      <c r="K279" s="6">
        <f>INDEX(products!$A$1:$G$49,MATCH(orders!$D279,products!$A$1:$A$49,0),MATCH(K$1,products!$A$1:$G$1,0))</f>
        <v>1</v>
      </c>
      <c r="L279" s="7">
        <f>INDEX(products!$A$1:$G$49,MATCH(orders!$D279,products!$A$1:$A$49,0),MATCH(L$1,products!$A$1:$G$1,0))</f>
        <v>14.85</v>
      </c>
      <c r="M279" s="7">
        <f t="shared" si="12"/>
        <v>89.1</v>
      </c>
      <c r="N279" t="str">
        <f t="shared" si="13"/>
        <v>Excelsa</v>
      </c>
      <c r="O279" t="str">
        <f t="shared" si="14"/>
        <v>Light</v>
      </c>
      <c r="P279" t="str">
        <f>_xlfn.XLOOKUP(Table1[[#This Row],[Customer ID]],customers!$A$2:$A$1001,customers!$I$2:$I$1001,,0)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INDEX(products!$A$1:$G$49,MATCH(orders!$D280,products!$A$1:$A$49,0),MATCH(I$1,products!$A$1:$G$1,0))</f>
        <v>Ara</v>
      </c>
      <c r="J280" t="str">
        <f>INDEX(products!$A$1:$G$49,MATCH(orders!$D280,products!$A$1:$A$49,0),MATCH(J$1,products!$A$1:$G$1,0))</f>
        <v>L</v>
      </c>
      <c r="K280" s="6">
        <f>INDEX(products!$A$1:$G$49,MATCH(orders!$D280,products!$A$1:$A$49,0),MATCH(K$1,products!$A$1:$G$1,0))</f>
        <v>0.2</v>
      </c>
      <c r="L280" s="7">
        <f>INDEX(products!$A$1:$G$49,MATCH(orders!$D280,products!$A$1:$A$49,0),MATCH(L$1,products!$A$1:$G$1,0))</f>
        <v>3.8849999999999998</v>
      </c>
      <c r="M280" s="7">
        <f t="shared" si="12"/>
        <v>7.77</v>
      </c>
      <c r="N280" t="str">
        <f t="shared" si="13"/>
        <v>Arabica</v>
      </c>
      <c r="O280" t="str">
        <f t="shared" si="14"/>
        <v>Light</v>
      </c>
      <c r="P280" t="str">
        <f>_xlfn.XLOOKUP(Table1[[#This Row],[Customer ID]],customers!$A$2:$A$1001,customers!$I$2:$I$1001,,0)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INDEX(products!$A$1:$G$49,MATCH(orders!$D281,products!$A$1:$A$49,0),MATCH(I$1,products!$A$1:$G$1,0))</f>
        <v>Lib</v>
      </c>
      <c r="J281" t="str">
        <f>INDEX(products!$A$1:$G$49,MATCH(orders!$D281,products!$A$1:$A$49,0),MATCH(J$1,products!$A$1:$G$1,0))</f>
        <v>M</v>
      </c>
      <c r="K281" s="6">
        <f>INDEX(products!$A$1:$G$49,MATCH(orders!$D281,products!$A$1:$A$49,0),MATCH(K$1,products!$A$1:$G$1,0))</f>
        <v>2.5</v>
      </c>
      <c r="L281" s="7">
        <f>INDEX(products!$A$1:$G$49,MATCH(orders!$D281,products!$A$1:$A$49,0),MATCH(L$1,products!$A$1:$G$1,0))</f>
        <v>33.464999999999996</v>
      </c>
      <c r="M281" s="7">
        <f t="shared" si="12"/>
        <v>33.464999999999996</v>
      </c>
      <c r="N281" t="str">
        <f t="shared" si="13"/>
        <v>Liberica</v>
      </c>
      <c r="O281" t="str">
        <f t="shared" si="14"/>
        <v>Medium</v>
      </c>
      <c r="P281" t="str">
        <f>_xlfn.XLOOKUP(Table1[[#This Row],[Customer ID]],customers!$A$2:$A$1001,customers!$I$2:$I$1001,,0)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INDEX(products!$A$1:$G$49,MATCH(orders!$D282,products!$A$1:$A$49,0),MATCH(I$1,products!$A$1:$G$1,0))</f>
        <v>Exc</v>
      </c>
      <c r="J282" t="str">
        <f>INDEX(products!$A$1:$G$49,MATCH(orders!$D282,products!$A$1:$A$49,0),MATCH(J$1,products!$A$1:$G$1,0))</f>
        <v>M</v>
      </c>
      <c r="K282" s="6">
        <f>INDEX(products!$A$1:$G$49,MATCH(orders!$D282,products!$A$1:$A$49,0),MATCH(K$1,products!$A$1:$G$1,0))</f>
        <v>0.5</v>
      </c>
      <c r="L282" s="7">
        <f>INDEX(products!$A$1:$G$49,MATCH(orders!$D282,products!$A$1:$A$49,0),MATCH(L$1,products!$A$1:$G$1,0))</f>
        <v>8.25</v>
      </c>
      <c r="M282" s="7">
        <f t="shared" si="12"/>
        <v>41.25</v>
      </c>
      <c r="N282" t="str">
        <f t="shared" si="13"/>
        <v>Excelsa</v>
      </c>
      <c r="O282" t="str">
        <f t="shared" si="14"/>
        <v>Medium</v>
      </c>
      <c r="P282" t="str">
        <f>_xlfn.XLOOKUP(Table1[[#This Row],[Customer ID]],customers!$A$2:$A$1001,customers!$I$2:$I$1001,,0)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INDEX(products!$A$1:$G$49,MATCH(orders!$D283,products!$A$1:$A$49,0),MATCH(I$1,products!$A$1:$G$1,0))</f>
        <v>Exc</v>
      </c>
      <c r="J283" t="str">
        <f>INDEX(products!$A$1:$G$49,MATCH(orders!$D283,products!$A$1:$A$49,0),MATCH(J$1,products!$A$1:$G$1,0))</f>
        <v>L</v>
      </c>
      <c r="K283" s="6">
        <f>INDEX(products!$A$1:$G$49,MATCH(orders!$D283,products!$A$1:$A$49,0),MATCH(K$1,products!$A$1:$G$1,0))</f>
        <v>1</v>
      </c>
      <c r="L283" s="7">
        <f>INDEX(products!$A$1:$G$49,MATCH(orders!$D283,products!$A$1:$A$49,0),MATCH(L$1,products!$A$1:$G$1,0))</f>
        <v>14.85</v>
      </c>
      <c r="M283" s="7">
        <f t="shared" si="12"/>
        <v>59.4</v>
      </c>
      <c r="N283" t="str">
        <f t="shared" si="13"/>
        <v>Excelsa</v>
      </c>
      <c r="O283" t="str">
        <f t="shared" si="14"/>
        <v>Light</v>
      </c>
      <c r="P283" t="str">
        <f>_xlfn.XLOOKUP(Table1[[#This Row],[Customer ID]],customers!$A$2:$A$1001,customers!$I$2:$I$1001,,0)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INDEX(products!$A$1:$G$49,MATCH(orders!$D284,products!$A$1:$A$49,0),MATCH(I$1,products!$A$1:$G$1,0))</f>
        <v>Ara</v>
      </c>
      <c r="J284" t="str">
        <f>INDEX(products!$A$1:$G$49,MATCH(orders!$D284,products!$A$1:$A$49,0),MATCH(J$1,products!$A$1:$G$1,0))</f>
        <v>L</v>
      </c>
      <c r="K284" s="6">
        <f>INDEX(products!$A$1:$G$49,MATCH(orders!$D284,products!$A$1:$A$49,0),MATCH(K$1,products!$A$1:$G$1,0))</f>
        <v>0.5</v>
      </c>
      <c r="L284" s="7">
        <f>INDEX(products!$A$1:$G$49,MATCH(orders!$D284,products!$A$1:$A$49,0),MATCH(L$1,products!$A$1:$G$1,0))</f>
        <v>7.77</v>
      </c>
      <c r="M284" s="7">
        <f t="shared" si="12"/>
        <v>7.77</v>
      </c>
      <c r="N284" t="str">
        <f t="shared" si="13"/>
        <v>Arabica</v>
      </c>
      <c r="O284" t="str">
        <f t="shared" si="14"/>
        <v>Light</v>
      </c>
      <c r="P284" t="str">
        <f>_xlfn.XLOOKUP(Table1[[#This Row],[Customer ID]],customers!$A$2:$A$1001,customers!$I$2:$I$1001,,0)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INDEX(products!$A$1:$G$49,MATCH(orders!$D285,products!$A$1:$A$49,0),MATCH(I$1,products!$A$1:$G$1,0))</f>
        <v>Rob</v>
      </c>
      <c r="J285" t="str">
        <f>INDEX(products!$A$1:$G$49,MATCH(orders!$D285,products!$A$1:$A$49,0),MATCH(J$1,products!$A$1:$G$1,0))</f>
        <v>D</v>
      </c>
      <c r="K285" s="6">
        <f>INDEX(products!$A$1:$G$49,MATCH(orders!$D285,products!$A$1:$A$49,0),MATCH(K$1,products!$A$1:$G$1,0))</f>
        <v>0.5</v>
      </c>
      <c r="L285" s="7">
        <f>INDEX(products!$A$1:$G$49,MATCH(orders!$D285,products!$A$1:$A$49,0),MATCH(L$1,products!$A$1:$G$1,0))</f>
        <v>5.3699999999999992</v>
      </c>
      <c r="M285" s="7">
        <f t="shared" si="12"/>
        <v>5.3699999999999992</v>
      </c>
      <c r="N285" t="str">
        <f t="shared" si="13"/>
        <v>Robusta</v>
      </c>
      <c r="O285" t="str">
        <f t="shared" si="14"/>
        <v>Dark</v>
      </c>
      <c r="P285" t="str">
        <f>_xlfn.XLOOKUP(Table1[[#This Row],[Customer ID]],customers!$A$2:$A$1001,customers!$I$2:$I$1001,,0)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INDEX(products!$A$1:$G$49,MATCH(orders!$D286,products!$A$1:$A$49,0),MATCH(I$1,products!$A$1:$G$1,0))</f>
        <v>Exc</v>
      </c>
      <c r="J286" t="str">
        <f>INDEX(products!$A$1:$G$49,MATCH(orders!$D286,products!$A$1:$A$49,0),MATCH(J$1,products!$A$1:$G$1,0))</f>
        <v>M</v>
      </c>
      <c r="K286" s="6">
        <f>INDEX(products!$A$1:$G$49,MATCH(orders!$D286,products!$A$1:$A$49,0),MATCH(K$1,products!$A$1:$G$1,0))</f>
        <v>2.5</v>
      </c>
      <c r="L286" s="7">
        <f>INDEX(products!$A$1:$G$49,MATCH(orders!$D286,products!$A$1:$A$49,0),MATCH(L$1,products!$A$1:$G$1,0))</f>
        <v>31.624999999999996</v>
      </c>
      <c r="M286" s="7">
        <f t="shared" si="12"/>
        <v>94.874999999999986</v>
      </c>
      <c r="N286" t="str">
        <f t="shared" si="13"/>
        <v>Excelsa</v>
      </c>
      <c r="O286" t="str">
        <f t="shared" si="14"/>
        <v>Medium</v>
      </c>
      <c r="P286" t="str">
        <f>_xlfn.XLOOKUP(Table1[[#This Row],[Customer ID]],customers!$A$2:$A$1001,customers!$I$2:$I$1001,,0)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INDEX(products!$A$1:$G$49,MATCH(orders!$D287,products!$A$1:$A$49,0),MATCH(I$1,products!$A$1:$G$1,0))</f>
        <v>Lib</v>
      </c>
      <c r="J287" t="str">
        <f>INDEX(products!$A$1:$G$49,MATCH(orders!$D287,products!$A$1:$A$49,0),MATCH(J$1,products!$A$1:$G$1,0))</f>
        <v>L</v>
      </c>
      <c r="K287" s="6">
        <f>INDEX(products!$A$1:$G$49,MATCH(orders!$D287,products!$A$1:$A$49,0),MATCH(K$1,products!$A$1:$G$1,0))</f>
        <v>2.5</v>
      </c>
      <c r="L287" s="7">
        <f>INDEX(products!$A$1:$G$49,MATCH(orders!$D287,products!$A$1:$A$49,0),MATCH(L$1,products!$A$1:$G$1,0))</f>
        <v>36.454999999999998</v>
      </c>
      <c r="M287" s="7">
        <f t="shared" si="12"/>
        <v>36.454999999999998</v>
      </c>
      <c r="N287" t="str">
        <f t="shared" si="13"/>
        <v>Liberica</v>
      </c>
      <c r="O287" t="str">
        <f t="shared" si="14"/>
        <v>Light</v>
      </c>
      <c r="P287" t="str">
        <f>_xlfn.XLOOKUP(Table1[[#This Row],[Customer ID]],customers!$A$2:$A$1001,customers!$I$2:$I$1001,,0)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INDEX(products!$A$1:$G$49,MATCH(orders!$D288,products!$A$1:$A$49,0),MATCH(I$1,products!$A$1:$G$1,0))</f>
        <v>Ara</v>
      </c>
      <c r="J288" t="str">
        <f>INDEX(products!$A$1:$G$49,MATCH(orders!$D288,products!$A$1:$A$49,0),MATCH(J$1,products!$A$1:$G$1,0))</f>
        <v>M</v>
      </c>
      <c r="K288" s="6">
        <f>INDEX(products!$A$1:$G$49,MATCH(orders!$D288,products!$A$1:$A$49,0),MATCH(K$1,products!$A$1:$G$1,0))</f>
        <v>0.2</v>
      </c>
      <c r="L288" s="7">
        <f>INDEX(products!$A$1:$G$49,MATCH(orders!$D288,products!$A$1:$A$49,0),MATCH(L$1,products!$A$1:$G$1,0))</f>
        <v>3.375</v>
      </c>
      <c r="M288" s="7">
        <f t="shared" si="12"/>
        <v>13.5</v>
      </c>
      <c r="N288" t="str">
        <f t="shared" si="13"/>
        <v>Arabica</v>
      </c>
      <c r="O288" t="str">
        <f t="shared" si="14"/>
        <v>Medium</v>
      </c>
      <c r="P288" t="str">
        <f>_xlfn.XLOOKUP(Table1[[#This Row],[Customer ID]],customers!$A$2:$A$1001,customers!$I$2:$I$1001,,0)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INDEX(products!$A$1:$G$49,MATCH(orders!$D289,products!$A$1:$A$49,0),MATCH(I$1,products!$A$1:$G$1,0))</f>
        <v>Rob</v>
      </c>
      <c r="J289" t="str">
        <f>INDEX(products!$A$1:$G$49,MATCH(orders!$D289,products!$A$1:$A$49,0),MATCH(J$1,products!$A$1:$G$1,0))</f>
        <v>L</v>
      </c>
      <c r="K289" s="6">
        <f>INDEX(products!$A$1:$G$49,MATCH(orders!$D289,products!$A$1:$A$49,0),MATCH(K$1,products!$A$1:$G$1,0))</f>
        <v>0.2</v>
      </c>
      <c r="L289" s="7">
        <f>INDEX(products!$A$1:$G$49,MATCH(orders!$D289,products!$A$1:$A$49,0),MATCH(L$1,products!$A$1:$G$1,0))</f>
        <v>3.5849999999999995</v>
      </c>
      <c r="M289" s="7">
        <f t="shared" si="12"/>
        <v>14.339999999999998</v>
      </c>
      <c r="N289" t="str">
        <f t="shared" si="13"/>
        <v>Robusta</v>
      </c>
      <c r="O289" t="str">
        <f t="shared" si="14"/>
        <v>Light</v>
      </c>
      <c r="P289" t="str">
        <f>_xlfn.XLOOKUP(Table1[[#This Row],[Customer ID]],customers!$A$2:$A$1001,customers!$I$2:$I$1001,,0)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INDEX(products!$A$1:$G$49,MATCH(orders!$D290,products!$A$1:$A$49,0),MATCH(I$1,products!$A$1:$G$1,0))</f>
        <v>Exc</v>
      </c>
      <c r="J290" t="str">
        <f>INDEX(products!$A$1:$G$49,MATCH(orders!$D290,products!$A$1:$A$49,0),MATCH(J$1,products!$A$1:$G$1,0))</f>
        <v>M</v>
      </c>
      <c r="K290" s="6">
        <f>INDEX(products!$A$1:$G$49,MATCH(orders!$D290,products!$A$1:$A$49,0),MATCH(K$1,products!$A$1:$G$1,0))</f>
        <v>0.5</v>
      </c>
      <c r="L290" s="7">
        <f>INDEX(products!$A$1:$G$49,MATCH(orders!$D290,products!$A$1:$A$49,0),MATCH(L$1,products!$A$1:$G$1,0))</f>
        <v>8.25</v>
      </c>
      <c r="M290" s="7">
        <f t="shared" si="12"/>
        <v>8.25</v>
      </c>
      <c r="N290" t="str">
        <f t="shared" si="13"/>
        <v>Excelsa</v>
      </c>
      <c r="O290" t="str">
        <f t="shared" si="14"/>
        <v>Medium</v>
      </c>
      <c r="P290" t="str">
        <f>_xlfn.XLOOKUP(Table1[[#This Row],[Customer ID]],customers!$A$2:$A$1001,customers!$I$2:$I$1001,,0)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INDEX(products!$A$1:$G$49,MATCH(orders!$D291,products!$A$1:$A$49,0),MATCH(I$1,products!$A$1:$G$1,0))</f>
        <v>Rob</v>
      </c>
      <c r="J291" t="str">
        <f>INDEX(products!$A$1:$G$49,MATCH(orders!$D291,products!$A$1:$A$49,0),MATCH(J$1,products!$A$1:$G$1,0))</f>
        <v>D</v>
      </c>
      <c r="K291" s="6">
        <f>INDEX(products!$A$1:$G$49,MATCH(orders!$D291,products!$A$1:$A$49,0),MATCH(K$1,products!$A$1:$G$1,0))</f>
        <v>0.2</v>
      </c>
      <c r="L291" s="7">
        <f>INDEX(products!$A$1:$G$49,MATCH(orders!$D291,products!$A$1:$A$49,0),MATCH(L$1,products!$A$1:$G$1,0))</f>
        <v>2.6849999999999996</v>
      </c>
      <c r="M291" s="7">
        <f t="shared" si="12"/>
        <v>13.424999999999997</v>
      </c>
      <c r="N291" t="str">
        <f t="shared" si="13"/>
        <v>Robusta</v>
      </c>
      <c r="O291" t="str">
        <f t="shared" si="14"/>
        <v>Dark</v>
      </c>
      <c r="P291" t="str">
        <f>_xlfn.XLOOKUP(Table1[[#This Row],[Customer ID]],customers!$A$2:$A$1001,customers!$I$2:$I$1001,,0)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INDEX(products!$A$1:$G$49,MATCH(orders!$D292,products!$A$1:$A$49,0),MATCH(I$1,products!$A$1:$G$1,0))</f>
        <v>Ara</v>
      </c>
      <c r="J292" t="str">
        <f>INDEX(products!$A$1:$G$49,MATCH(orders!$D292,products!$A$1:$A$49,0),MATCH(J$1,products!$A$1:$G$1,0))</f>
        <v>D</v>
      </c>
      <c r="K292" s="6">
        <f>INDEX(products!$A$1:$G$49,MATCH(orders!$D292,products!$A$1:$A$49,0),MATCH(K$1,products!$A$1:$G$1,0))</f>
        <v>1</v>
      </c>
      <c r="L292" s="7">
        <f>INDEX(products!$A$1:$G$49,MATCH(orders!$D292,products!$A$1:$A$49,0),MATCH(L$1,products!$A$1:$G$1,0))</f>
        <v>9.9499999999999993</v>
      </c>
      <c r="M292" s="7">
        <f t="shared" si="12"/>
        <v>49.75</v>
      </c>
      <c r="N292" t="str">
        <f t="shared" si="13"/>
        <v>Arabica</v>
      </c>
      <c r="O292" t="str">
        <f t="shared" si="14"/>
        <v>Dark</v>
      </c>
      <c r="P292" t="str">
        <f>_xlfn.XLOOKUP(Table1[[#This Row],[Customer ID]],customers!$A$2:$A$1001,customers!$I$2:$I$1001,,0)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INDEX(products!$A$1:$G$49,MATCH(orders!$D293,products!$A$1:$A$49,0),MATCH(I$1,products!$A$1:$G$1,0))</f>
        <v>Exc</v>
      </c>
      <c r="J293" t="str">
        <f>INDEX(products!$A$1:$G$49,MATCH(orders!$D293,products!$A$1:$A$49,0),MATCH(J$1,products!$A$1:$G$1,0))</f>
        <v>M</v>
      </c>
      <c r="K293" s="6">
        <f>INDEX(products!$A$1:$G$49,MATCH(orders!$D293,products!$A$1:$A$49,0),MATCH(K$1,products!$A$1:$G$1,0))</f>
        <v>0.5</v>
      </c>
      <c r="L293" s="7">
        <f>INDEX(products!$A$1:$G$49,MATCH(orders!$D293,products!$A$1:$A$49,0),MATCH(L$1,products!$A$1:$G$1,0))</f>
        <v>8.25</v>
      </c>
      <c r="M293" s="7">
        <f t="shared" si="12"/>
        <v>16.5</v>
      </c>
      <c r="N293" t="str">
        <f t="shared" si="13"/>
        <v>Excelsa</v>
      </c>
      <c r="O293" t="str">
        <f t="shared" si="14"/>
        <v>Medium</v>
      </c>
      <c r="P293" t="str">
        <f>_xlfn.XLOOKUP(Table1[[#This Row],[Customer ID]],customers!$A$2:$A$1001,customers!$I$2:$I$1001,,0)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INDEX(products!$A$1:$G$49,MATCH(orders!$D294,products!$A$1:$A$49,0),MATCH(I$1,products!$A$1:$G$1,0))</f>
        <v>Ara</v>
      </c>
      <c r="J294" t="str">
        <f>INDEX(products!$A$1:$G$49,MATCH(orders!$D294,products!$A$1:$A$49,0),MATCH(J$1,products!$A$1:$G$1,0))</f>
        <v>D</v>
      </c>
      <c r="K294" s="6">
        <f>INDEX(products!$A$1:$G$49,MATCH(orders!$D294,products!$A$1:$A$49,0),MATCH(K$1,products!$A$1:$G$1,0))</f>
        <v>0.5</v>
      </c>
      <c r="L294" s="7">
        <f>INDEX(products!$A$1:$G$49,MATCH(orders!$D294,products!$A$1:$A$49,0),MATCH(L$1,products!$A$1:$G$1,0))</f>
        <v>5.97</v>
      </c>
      <c r="M294" s="7">
        <f t="shared" si="12"/>
        <v>17.91</v>
      </c>
      <c r="N294" t="str">
        <f t="shared" si="13"/>
        <v>Arabica</v>
      </c>
      <c r="O294" t="str">
        <f t="shared" si="14"/>
        <v>Dark</v>
      </c>
      <c r="P294" t="str">
        <f>_xlfn.XLOOKUP(Table1[[#This Row],[Customer ID]],customers!$A$2:$A$1001,customers!$I$2:$I$1001,,0)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INDEX(products!$A$1:$G$49,MATCH(orders!$D295,products!$A$1:$A$49,0),MATCH(I$1,products!$A$1:$G$1,0))</f>
        <v>Ara</v>
      </c>
      <c r="J295" t="str">
        <f>INDEX(products!$A$1:$G$49,MATCH(orders!$D295,products!$A$1:$A$49,0),MATCH(J$1,products!$A$1:$G$1,0))</f>
        <v>D</v>
      </c>
      <c r="K295" s="6">
        <f>INDEX(products!$A$1:$G$49,MATCH(orders!$D295,products!$A$1:$A$49,0),MATCH(K$1,products!$A$1:$G$1,0))</f>
        <v>0.5</v>
      </c>
      <c r="L295" s="7">
        <f>INDEX(products!$A$1:$G$49,MATCH(orders!$D295,products!$A$1:$A$49,0),MATCH(L$1,products!$A$1:$G$1,0))</f>
        <v>5.97</v>
      </c>
      <c r="M295" s="7">
        <f t="shared" si="12"/>
        <v>29.849999999999998</v>
      </c>
      <c r="N295" t="str">
        <f t="shared" si="13"/>
        <v>Arabica</v>
      </c>
      <c r="O295" t="str">
        <f t="shared" si="14"/>
        <v>Dark</v>
      </c>
      <c r="P295" t="str">
        <f>_xlfn.XLOOKUP(Table1[[#This Row],[Customer ID]],customers!$A$2:$A$1001,customers!$I$2:$I$1001,,0)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INDEX(products!$A$1:$G$49,MATCH(orders!$D296,products!$A$1:$A$49,0),MATCH(I$1,products!$A$1:$G$1,0))</f>
        <v>Exc</v>
      </c>
      <c r="J296" t="str">
        <f>INDEX(products!$A$1:$G$49,MATCH(orders!$D296,products!$A$1:$A$49,0),MATCH(J$1,products!$A$1:$G$1,0))</f>
        <v>L</v>
      </c>
      <c r="K296" s="6">
        <f>INDEX(products!$A$1:$G$49,MATCH(orders!$D296,products!$A$1:$A$49,0),MATCH(K$1,products!$A$1:$G$1,0))</f>
        <v>1</v>
      </c>
      <c r="L296" s="7">
        <f>INDEX(products!$A$1:$G$49,MATCH(orders!$D296,products!$A$1:$A$49,0),MATCH(L$1,products!$A$1:$G$1,0))</f>
        <v>14.85</v>
      </c>
      <c r="M296" s="7">
        <f t="shared" si="12"/>
        <v>44.55</v>
      </c>
      <c r="N296" t="str">
        <f t="shared" si="13"/>
        <v>Excelsa</v>
      </c>
      <c r="O296" t="str">
        <f t="shared" si="14"/>
        <v>Light</v>
      </c>
      <c r="P296" t="str">
        <f>_xlfn.XLOOKUP(Table1[[#This Row],[Customer ID]],customers!$A$2:$A$1001,customers!$I$2:$I$1001,,0)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INDEX(products!$A$1:$G$49,MATCH(orders!$D297,products!$A$1:$A$49,0),MATCH(I$1,products!$A$1:$G$1,0))</f>
        <v>Exc</v>
      </c>
      <c r="J297" t="str">
        <f>INDEX(products!$A$1:$G$49,MATCH(orders!$D297,products!$A$1:$A$49,0),MATCH(J$1,products!$A$1:$G$1,0))</f>
        <v>M</v>
      </c>
      <c r="K297" s="6">
        <f>INDEX(products!$A$1:$G$49,MATCH(orders!$D297,products!$A$1:$A$49,0),MATCH(K$1,products!$A$1:$G$1,0))</f>
        <v>1</v>
      </c>
      <c r="L297" s="7">
        <f>INDEX(products!$A$1:$G$49,MATCH(orders!$D297,products!$A$1:$A$49,0),MATCH(L$1,products!$A$1:$G$1,0))</f>
        <v>13.75</v>
      </c>
      <c r="M297" s="7">
        <f t="shared" si="12"/>
        <v>27.5</v>
      </c>
      <c r="N297" t="str">
        <f t="shared" si="13"/>
        <v>Excelsa</v>
      </c>
      <c r="O297" t="str">
        <f t="shared" si="14"/>
        <v>Medium</v>
      </c>
      <c r="P297" t="str">
        <f>_xlfn.XLOOKUP(Table1[[#This Row],[Customer ID]],customers!$A$2:$A$1001,customers!$I$2:$I$1001,,0)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INDEX(products!$A$1:$G$49,MATCH(orders!$D298,products!$A$1:$A$49,0),MATCH(I$1,products!$A$1:$G$1,0))</f>
        <v>Rob</v>
      </c>
      <c r="J298" t="str">
        <f>INDEX(products!$A$1:$G$49,MATCH(orders!$D298,products!$A$1:$A$49,0),MATCH(J$1,products!$A$1:$G$1,0))</f>
        <v>M</v>
      </c>
      <c r="K298" s="6">
        <f>INDEX(products!$A$1:$G$49,MATCH(orders!$D298,products!$A$1:$A$49,0),MATCH(K$1,products!$A$1:$G$1,0))</f>
        <v>0.5</v>
      </c>
      <c r="L298" s="7">
        <f>INDEX(products!$A$1:$G$49,MATCH(orders!$D298,products!$A$1:$A$49,0),MATCH(L$1,products!$A$1:$G$1,0))</f>
        <v>5.97</v>
      </c>
      <c r="M298" s="7">
        <f t="shared" si="12"/>
        <v>35.82</v>
      </c>
      <c r="N298" t="str">
        <f t="shared" si="13"/>
        <v>Robusta</v>
      </c>
      <c r="O298" t="str">
        <f t="shared" si="14"/>
        <v>Medium</v>
      </c>
      <c r="P298" t="str">
        <f>_xlfn.XLOOKUP(Table1[[#This Row],[Customer ID]],customers!$A$2:$A$1001,customers!$I$2:$I$1001,,0)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INDEX(products!$A$1:$G$49,MATCH(orders!$D299,products!$A$1:$A$49,0),MATCH(I$1,products!$A$1:$G$1,0))</f>
        <v>Rob</v>
      </c>
      <c r="J299" t="str">
        <f>INDEX(products!$A$1:$G$49,MATCH(orders!$D299,products!$A$1:$A$49,0),MATCH(J$1,products!$A$1:$G$1,0))</f>
        <v>D</v>
      </c>
      <c r="K299" s="6">
        <f>INDEX(products!$A$1:$G$49,MATCH(orders!$D299,products!$A$1:$A$49,0),MATCH(K$1,products!$A$1:$G$1,0))</f>
        <v>0.5</v>
      </c>
      <c r="L299" s="7">
        <f>INDEX(products!$A$1:$G$49,MATCH(orders!$D299,products!$A$1:$A$49,0),MATCH(L$1,products!$A$1:$G$1,0))</f>
        <v>5.3699999999999992</v>
      </c>
      <c r="M299" s="7">
        <f t="shared" si="12"/>
        <v>16.11</v>
      </c>
      <c r="N299" t="str">
        <f t="shared" si="13"/>
        <v>Robusta</v>
      </c>
      <c r="O299" t="str">
        <f t="shared" si="14"/>
        <v>Dark</v>
      </c>
      <c r="P299" t="str">
        <f>_xlfn.XLOOKUP(Table1[[#This Row],[Customer ID]],customers!$A$2:$A$1001,customers!$I$2:$I$1001,,0)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INDEX(products!$A$1:$G$49,MATCH(orders!$D300,products!$A$1:$A$49,0),MATCH(I$1,products!$A$1:$G$1,0))</f>
        <v>Exc</v>
      </c>
      <c r="J300" t="str">
        <f>INDEX(products!$A$1:$G$49,MATCH(orders!$D300,products!$A$1:$A$49,0),MATCH(J$1,products!$A$1:$G$1,0))</f>
        <v>L</v>
      </c>
      <c r="K300" s="6">
        <f>INDEX(products!$A$1:$G$49,MATCH(orders!$D300,products!$A$1:$A$49,0),MATCH(K$1,products!$A$1:$G$1,0))</f>
        <v>0.2</v>
      </c>
      <c r="L300" s="7">
        <f>INDEX(products!$A$1:$G$49,MATCH(orders!$D300,products!$A$1:$A$49,0),MATCH(L$1,products!$A$1:$G$1,0))</f>
        <v>4.4550000000000001</v>
      </c>
      <c r="M300" s="7">
        <f t="shared" si="12"/>
        <v>26.73</v>
      </c>
      <c r="N300" t="str">
        <f t="shared" si="13"/>
        <v>Excelsa</v>
      </c>
      <c r="O300" t="str">
        <f t="shared" si="14"/>
        <v>Light</v>
      </c>
      <c r="P300" t="str">
        <f>_xlfn.XLOOKUP(Table1[[#This Row],[Customer ID]],customers!$A$2:$A$1001,customers!$I$2:$I$1001,,0)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INDEX(products!$A$1:$G$49,MATCH(orders!$D301,products!$A$1:$A$49,0),MATCH(I$1,products!$A$1:$G$1,0))</f>
        <v>Exc</v>
      </c>
      <c r="J301" t="str">
        <f>INDEX(products!$A$1:$G$49,MATCH(orders!$D301,products!$A$1:$A$49,0),MATCH(J$1,products!$A$1:$G$1,0))</f>
        <v>L</v>
      </c>
      <c r="K301" s="6">
        <f>INDEX(products!$A$1:$G$49,MATCH(orders!$D301,products!$A$1:$A$49,0),MATCH(K$1,products!$A$1:$G$1,0))</f>
        <v>2.5</v>
      </c>
      <c r="L301" s="7">
        <f>INDEX(products!$A$1:$G$49,MATCH(orders!$D301,products!$A$1:$A$49,0),MATCH(L$1,products!$A$1:$G$1,0))</f>
        <v>34.154999999999994</v>
      </c>
      <c r="M301" s="7">
        <f t="shared" si="12"/>
        <v>204.92999999999995</v>
      </c>
      <c r="N301" t="str">
        <f t="shared" si="13"/>
        <v>Excelsa</v>
      </c>
      <c r="O301" t="str">
        <f t="shared" si="14"/>
        <v>Light</v>
      </c>
      <c r="P301" t="str">
        <f>_xlfn.XLOOKUP(Table1[[#This Row],[Customer ID]],customers!$A$2:$A$1001,customers!$I$2:$I$1001,,0)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INDEX(products!$A$1:$G$49,MATCH(orders!$D302,products!$A$1:$A$49,0),MATCH(I$1,products!$A$1:$G$1,0))</f>
        <v>Ara</v>
      </c>
      <c r="J302" t="str">
        <f>INDEX(products!$A$1:$G$49,MATCH(orders!$D302,products!$A$1:$A$49,0),MATCH(J$1,products!$A$1:$G$1,0))</f>
        <v>L</v>
      </c>
      <c r="K302" s="6">
        <f>INDEX(products!$A$1:$G$49,MATCH(orders!$D302,products!$A$1:$A$49,0),MATCH(K$1,products!$A$1:$G$1,0))</f>
        <v>1</v>
      </c>
      <c r="L302" s="7">
        <f>INDEX(products!$A$1:$G$49,MATCH(orders!$D302,products!$A$1:$A$49,0),MATCH(L$1,products!$A$1:$G$1,0))</f>
        <v>12.95</v>
      </c>
      <c r="M302" s="7">
        <f t="shared" si="12"/>
        <v>38.849999999999994</v>
      </c>
      <c r="N302" t="str">
        <f t="shared" si="13"/>
        <v>Arabica</v>
      </c>
      <c r="O302" t="str">
        <f t="shared" si="14"/>
        <v>Light</v>
      </c>
      <c r="P302" t="str">
        <f>_xlfn.XLOOKUP(Table1[[#This Row],[Customer ID]],customers!$A$2:$A$1001,customers!$I$2:$I$1001,,0)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INDEX(products!$A$1:$G$49,MATCH(orders!$D303,products!$A$1:$A$49,0),MATCH(I$1,products!$A$1:$G$1,0))</f>
        <v>Lib</v>
      </c>
      <c r="J303" t="str">
        <f>INDEX(products!$A$1:$G$49,MATCH(orders!$D303,products!$A$1:$A$49,0),MATCH(J$1,products!$A$1:$G$1,0))</f>
        <v>D</v>
      </c>
      <c r="K303" s="6">
        <f>INDEX(products!$A$1:$G$49,MATCH(orders!$D303,products!$A$1:$A$49,0),MATCH(K$1,products!$A$1:$G$1,0))</f>
        <v>0.2</v>
      </c>
      <c r="L303" s="7">
        <f>INDEX(products!$A$1:$G$49,MATCH(orders!$D303,products!$A$1:$A$49,0),MATCH(L$1,products!$A$1:$G$1,0))</f>
        <v>3.8849999999999998</v>
      </c>
      <c r="M303" s="7">
        <f t="shared" si="12"/>
        <v>15.54</v>
      </c>
      <c r="N303" t="str">
        <f t="shared" si="13"/>
        <v>Liberica</v>
      </c>
      <c r="O303" t="str">
        <f t="shared" si="14"/>
        <v>Dark</v>
      </c>
      <c r="P303" t="str">
        <f>_xlfn.XLOOKUP(Table1[[#This Row],[Customer ID]],customers!$A$2:$A$1001,customers!$I$2:$I$1001,,0)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INDEX(products!$A$1:$G$49,MATCH(orders!$D304,products!$A$1:$A$49,0),MATCH(I$1,products!$A$1:$G$1,0))</f>
        <v>Ara</v>
      </c>
      <c r="J304" t="str">
        <f>INDEX(products!$A$1:$G$49,MATCH(orders!$D304,products!$A$1:$A$49,0),MATCH(J$1,products!$A$1:$G$1,0))</f>
        <v>M</v>
      </c>
      <c r="K304" s="6">
        <f>INDEX(products!$A$1:$G$49,MATCH(orders!$D304,products!$A$1:$A$49,0),MATCH(K$1,products!$A$1:$G$1,0))</f>
        <v>0.5</v>
      </c>
      <c r="L304" s="7">
        <f>INDEX(products!$A$1:$G$49,MATCH(orders!$D304,products!$A$1:$A$49,0),MATCH(L$1,products!$A$1:$G$1,0))</f>
        <v>6.75</v>
      </c>
      <c r="M304" s="7">
        <f t="shared" si="12"/>
        <v>6.75</v>
      </c>
      <c r="N304" t="str">
        <f t="shared" si="13"/>
        <v>Arabica</v>
      </c>
      <c r="O304" t="str">
        <f t="shared" si="14"/>
        <v>Medium</v>
      </c>
      <c r="P304" t="str">
        <f>_xlfn.XLOOKUP(Table1[[#This Row],[Customer ID]],customers!$A$2:$A$1001,customers!$I$2:$I$1001,,0)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INDEX(products!$A$1:$G$49,MATCH(orders!$D305,products!$A$1:$A$49,0),MATCH(I$1,products!$A$1:$G$1,0))</f>
        <v>Exc</v>
      </c>
      <c r="J305" t="str">
        <f>INDEX(products!$A$1:$G$49,MATCH(orders!$D305,products!$A$1:$A$49,0),MATCH(J$1,products!$A$1:$G$1,0))</f>
        <v>D</v>
      </c>
      <c r="K305" s="6">
        <f>INDEX(products!$A$1:$G$49,MATCH(orders!$D305,products!$A$1:$A$49,0),MATCH(K$1,products!$A$1:$G$1,0))</f>
        <v>2.5</v>
      </c>
      <c r="L305" s="7">
        <f>INDEX(products!$A$1:$G$49,MATCH(orders!$D305,products!$A$1:$A$49,0),MATCH(L$1,products!$A$1:$G$1,0))</f>
        <v>27.945</v>
      </c>
      <c r="M305" s="7">
        <f t="shared" si="12"/>
        <v>111.78</v>
      </c>
      <c r="N305" t="str">
        <f t="shared" si="13"/>
        <v>Excelsa</v>
      </c>
      <c r="O305" t="str">
        <f t="shared" si="14"/>
        <v>Dark</v>
      </c>
      <c r="P305" t="str">
        <f>_xlfn.XLOOKUP(Table1[[#This Row],[Customer ID]],customers!$A$2:$A$1001,customers!$I$2:$I$1001,,0)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INDEX(products!$A$1:$G$49,MATCH(orders!$D306,products!$A$1:$A$49,0),MATCH(I$1,products!$A$1:$G$1,0))</f>
        <v>Ara</v>
      </c>
      <c r="J306" t="str">
        <f>INDEX(products!$A$1:$G$49,MATCH(orders!$D306,products!$A$1:$A$49,0),MATCH(J$1,products!$A$1:$G$1,0))</f>
        <v>L</v>
      </c>
      <c r="K306" s="6">
        <f>INDEX(products!$A$1:$G$49,MATCH(orders!$D306,products!$A$1:$A$49,0),MATCH(K$1,products!$A$1:$G$1,0))</f>
        <v>0.2</v>
      </c>
      <c r="L306" s="7">
        <f>INDEX(products!$A$1:$G$49,MATCH(orders!$D306,products!$A$1:$A$49,0),MATCH(L$1,products!$A$1:$G$1,0))</f>
        <v>3.8849999999999998</v>
      </c>
      <c r="M306" s="7">
        <f t="shared" si="12"/>
        <v>3.8849999999999998</v>
      </c>
      <c r="N306" t="str">
        <f t="shared" si="13"/>
        <v>Arabica</v>
      </c>
      <c r="O306" t="str">
        <f t="shared" si="14"/>
        <v>Light</v>
      </c>
      <c r="P306" t="str">
        <f>_xlfn.XLOOKUP(Table1[[#This Row],[Customer ID]],customers!$A$2:$A$1001,customers!$I$2:$I$1001,,0)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INDEX(products!$A$1:$G$49,MATCH(orders!$D307,products!$A$1:$A$49,0),MATCH(I$1,products!$A$1:$G$1,0))</f>
        <v>Lib</v>
      </c>
      <c r="J307" t="str">
        <f>INDEX(products!$A$1:$G$49,MATCH(orders!$D307,products!$A$1:$A$49,0),MATCH(J$1,products!$A$1:$G$1,0))</f>
        <v>M</v>
      </c>
      <c r="K307" s="6">
        <f>INDEX(products!$A$1:$G$49,MATCH(orders!$D307,products!$A$1:$A$49,0),MATCH(K$1,products!$A$1:$G$1,0))</f>
        <v>0.2</v>
      </c>
      <c r="L307" s="7">
        <f>INDEX(products!$A$1:$G$49,MATCH(orders!$D307,products!$A$1:$A$49,0),MATCH(L$1,products!$A$1:$G$1,0))</f>
        <v>4.3650000000000002</v>
      </c>
      <c r="M307" s="7">
        <f t="shared" si="12"/>
        <v>21.825000000000003</v>
      </c>
      <c r="N307" t="str">
        <f t="shared" si="13"/>
        <v>Liberica</v>
      </c>
      <c r="O307" t="str">
        <f t="shared" si="14"/>
        <v>Medium</v>
      </c>
      <c r="P307" t="str">
        <f>_xlfn.XLOOKUP(Table1[[#This Row],[Customer ID]],customers!$A$2:$A$1001,customers!$I$2:$I$1001,,0)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INDEX(products!$A$1:$G$49,MATCH(orders!$D308,products!$A$1:$A$49,0),MATCH(I$1,products!$A$1:$G$1,0))</f>
        <v>Rob</v>
      </c>
      <c r="J308" t="str">
        <f>INDEX(products!$A$1:$G$49,MATCH(orders!$D308,products!$A$1:$A$49,0),MATCH(J$1,products!$A$1:$G$1,0))</f>
        <v>M</v>
      </c>
      <c r="K308" s="6">
        <f>INDEX(products!$A$1:$G$49,MATCH(orders!$D308,products!$A$1:$A$49,0),MATCH(K$1,products!$A$1:$G$1,0))</f>
        <v>0.2</v>
      </c>
      <c r="L308" s="7">
        <f>INDEX(products!$A$1:$G$49,MATCH(orders!$D308,products!$A$1:$A$49,0),MATCH(L$1,products!$A$1:$G$1,0))</f>
        <v>2.9849999999999999</v>
      </c>
      <c r="M308" s="7">
        <f t="shared" si="12"/>
        <v>14.924999999999999</v>
      </c>
      <c r="N308" t="str">
        <f t="shared" si="13"/>
        <v>Robusta</v>
      </c>
      <c r="O308" t="str">
        <f t="shared" si="14"/>
        <v>Medium</v>
      </c>
      <c r="P308" t="str">
        <f>_xlfn.XLOOKUP(Table1[[#This Row],[Customer ID]],customers!$A$2:$A$1001,customers!$I$2:$I$1001,,0)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INDEX(products!$A$1:$G$49,MATCH(orders!$D309,products!$A$1:$A$49,0),MATCH(I$1,products!$A$1:$G$1,0))</f>
        <v>Ara</v>
      </c>
      <c r="J309" t="str">
        <f>INDEX(products!$A$1:$G$49,MATCH(orders!$D309,products!$A$1:$A$49,0),MATCH(J$1,products!$A$1:$G$1,0))</f>
        <v>M</v>
      </c>
      <c r="K309" s="6">
        <f>INDEX(products!$A$1:$G$49,MATCH(orders!$D309,products!$A$1:$A$49,0),MATCH(K$1,products!$A$1:$G$1,0))</f>
        <v>1</v>
      </c>
      <c r="L309" s="7">
        <f>INDEX(products!$A$1:$G$49,MATCH(orders!$D309,products!$A$1:$A$49,0),MATCH(L$1,products!$A$1:$G$1,0))</f>
        <v>11.25</v>
      </c>
      <c r="M309" s="7">
        <f t="shared" si="12"/>
        <v>33.75</v>
      </c>
      <c r="N309" t="str">
        <f t="shared" si="13"/>
        <v>Arabica</v>
      </c>
      <c r="O309" t="str">
        <f t="shared" si="14"/>
        <v>Medium</v>
      </c>
      <c r="P309" t="str">
        <f>_xlfn.XLOOKUP(Table1[[#This Row],[Customer ID]],customers!$A$2:$A$1001,customers!$I$2:$I$1001,,0)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INDEX(products!$A$1:$G$49,MATCH(orders!$D310,products!$A$1:$A$49,0),MATCH(I$1,products!$A$1:$G$1,0))</f>
        <v>Ara</v>
      </c>
      <c r="J310" t="str">
        <f>INDEX(products!$A$1:$G$49,MATCH(orders!$D310,products!$A$1:$A$49,0),MATCH(J$1,products!$A$1:$G$1,0))</f>
        <v>M</v>
      </c>
      <c r="K310" s="6">
        <f>INDEX(products!$A$1:$G$49,MATCH(orders!$D310,products!$A$1:$A$49,0),MATCH(K$1,products!$A$1:$G$1,0))</f>
        <v>1</v>
      </c>
      <c r="L310" s="7">
        <f>INDEX(products!$A$1:$G$49,MATCH(orders!$D310,products!$A$1:$A$49,0),MATCH(L$1,products!$A$1:$G$1,0))</f>
        <v>11.25</v>
      </c>
      <c r="M310" s="7">
        <f t="shared" si="12"/>
        <v>33.75</v>
      </c>
      <c r="N310" t="str">
        <f t="shared" si="13"/>
        <v>Arabica</v>
      </c>
      <c r="O310" t="str">
        <f t="shared" si="14"/>
        <v>Medium</v>
      </c>
      <c r="P310" t="str">
        <f>_xlfn.XLOOKUP(Table1[[#This Row],[Customer ID]],customers!$A$2:$A$1001,customers!$I$2:$I$1001,,0)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INDEX(products!$A$1:$G$49,MATCH(orders!$D311,products!$A$1:$A$49,0),MATCH(I$1,products!$A$1:$G$1,0))</f>
        <v>Lib</v>
      </c>
      <c r="J311" t="str">
        <f>INDEX(products!$A$1:$G$49,MATCH(orders!$D311,products!$A$1:$A$49,0),MATCH(J$1,products!$A$1:$G$1,0))</f>
        <v>M</v>
      </c>
      <c r="K311" s="6">
        <f>INDEX(products!$A$1:$G$49,MATCH(orders!$D311,products!$A$1:$A$49,0),MATCH(K$1,products!$A$1:$G$1,0))</f>
        <v>0.2</v>
      </c>
      <c r="L311" s="7">
        <f>INDEX(products!$A$1:$G$49,MATCH(orders!$D311,products!$A$1:$A$49,0),MATCH(L$1,products!$A$1:$G$1,0))</f>
        <v>4.3650000000000002</v>
      </c>
      <c r="M311" s="7">
        <f t="shared" si="12"/>
        <v>26.19</v>
      </c>
      <c r="N311" t="str">
        <f t="shared" si="13"/>
        <v>Liberica</v>
      </c>
      <c r="O311" t="str">
        <f t="shared" si="14"/>
        <v>Medium</v>
      </c>
      <c r="P311" t="str">
        <f>_xlfn.XLOOKUP(Table1[[#This Row],[Customer ID]],customers!$A$2:$A$1001,customers!$I$2:$I$1001,,0)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INDEX(products!$A$1:$G$49,MATCH(orders!$D312,products!$A$1:$A$49,0),MATCH(I$1,products!$A$1:$G$1,0))</f>
        <v>Exc</v>
      </c>
      <c r="J312" t="str">
        <f>INDEX(products!$A$1:$G$49,MATCH(orders!$D312,products!$A$1:$A$49,0),MATCH(J$1,products!$A$1:$G$1,0))</f>
        <v>L</v>
      </c>
      <c r="K312" s="6">
        <f>INDEX(products!$A$1:$G$49,MATCH(orders!$D312,products!$A$1:$A$49,0),MATCH(K$1,products!$A$1:$G$1,0))</f>
        <v>1</v>
      </c>
      <c r="L312" s="7">
        <f>INDEX(products!$A$1:$G$49,MATCH(orders!$D312,products!$A$1:$A$49,0),MATCH(L$1,products!$A$1:$G$1,0))</f>
        <v>14.85</v>
      </c>
      <c r="M312" s="7">
        <f t="shared" si="12"/>
        <v>14.85</v>
      </c>
      <c r="N312" t="str">
        <f t="shared" si="13"/>
        <v>Excelsa</v>
      </c>
      <c r="O312" t="str">
        <f t="shared" si="14"/>
        <v>Light</v>
      </c>
      <c r="P312" t="str">
        <f>_xlfn.XLOOKUP(Table1[[#This Row],[Customer ID]],customers!$A$2:$A$1001,customers!$I$2:$I$1001,,0)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INDEX(products!$A$1:$G$49,MATCH(orders!$D313,products!$A$1:$A$49,0),MATCH(I$1,products!$A$1:$G$1,0))</f>
        <v>Exc</v>
      </c>
      <c r="J313" t="str">
        <f>INDEX(products!$A$1:$G$49,MATCH(orders!$D313,products!$A$1:$A$49,0),MATCH(J$1,products!$A$1:$G$1,0))</f>
        <v>M</v>
      </c>
      <c r="K313" s="6">
        <f>INDEX(products!$A$1:$G$49,MATCH(orders!$D313,products!$A$1:$A$49,0),MATCH(K$1,products!$A$1:$G$1,0))</f>
        <v>2.5</v>
      </c>
      <c r="L313" s="7">
        <f>INDEX(products!$A$1:$G$49,MATCH(orders!$D313,products!$A$1:$A$49,0),MATCH(L$1,products!$A$1:$G$1,0))</f>
        <v>31.624999999999996</v>
      </c>
      <c r="M313" s="7">
        <f t="shared" si="12"/>
        <v>189.74999999999997</v>
      </c>
      <c r="N313" t="str">
        <f t="shared" si="13"/>
        <v>Excelsa</v>
      </c>
      <c r="O313" t="str">
        <f t="shared" si="14"/>
        <v>Medium</v>
      </c>
      <c r="P313" t="str">
        <f>_xlfn.XLOOKUP(Table1[[#This Row],[Customer ID]],customers!$A$2:$A$1001,customers!$I$2:$I$1001,,0)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INDEX(products!$A$1:$G$49,MATCH(orders!$D314,products!$A$1:$A$49,0),MATCH(I$1,products!$A$1:$G$1,0))</f>
        <v>Rob</v>
      </c>
      <c r="J314" t="str">
        <f>INDEX(products!$A$1:$G$49,MATCH(orders!$D314,products!$A$1:$A$49,0),MATCH(J$1,products!$A$1:$G$1,0))</f>
        <v>M</v>
      </c>
      <c r="K314" s="6">
        <f>INDEX(products!$A$1:$G$49,MATCH(orders!$D314,products!$A$1:$A$49,0),MATCH(K$1,products!$A$1:$G$1,0))</f>
        <v>0.5</v>
      </c>
      <c r="L314" s="7">
        <f>INDEX(products!$A$1:$G$49,MATCH(orders!$D314,products!$A$1:$A$49,0),MATCH(L$1,products!$A$1:$G$1,0))</f>
        <v>5.97</v>
      </c>
      <c r="M314" s="7">
        <f t="shared" si="12"/>
        <v>5.97</v>
      </c>
      <c r="N314" t="str">
        <f t="shared" si="13"/>
        <v>Robusta</v>
      </c>
      <c r="O314" t="str">
        <f t="shared" si="14"/>
        <v>Medium</v>
      </c>
      <c r="P314" t="str">
        <f>_xlfn.XLOOKUP(Table1[[#This Row],[Customer ID]],customers!$A$2:$A$1001,customers!$I$2:$I$1001,,0)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INDEX(products!$A$1:$G$49,MATCH(orders!$D315,products!$A$1:$A$49,0),MATCH(I$1,products!$A$1:$G$1,0))</f>
        <v>Rob</v>
      </c>
      <c r="J315" t="str">
        <f>INDEX(products!$A$1:$G$49,MATCH(orders!$D315,products!$A$1:$A$49,0),MATCH(J$1,products!$A$1:$G$1,0))</f>
        <v>M</v>
      </c>
      <c r="K315" s="6">
        <f>INDEX(products!$A$1:$G$49,MATCH(orders!$D315,products!$A$1:$A$49,0),MATCH(K$1,products!$A$1:$G$1,0))</f>
        <v>1</v>
      </c>
      <c r="L315" s="7">
        <f>INDEX(products!$A$1:$G$49,MATCH(orders!$D315,products!$A$1:$A$49,0),MATCH(L$1,products!$A$1:$G$1,0))</f>
        <v>9.9499999999999993</v>
      </c>
      <c r="M315" s="7">
        <f t="shared" si="12"/>
        <v>29.849999999999998</v>
      </c>
      <c r="N315" t="str">
        <f t="shared" si="13"/>
        <v>Robusta</v>
      </c>
      <c r="O315" t="str">
        <f t="shared" si="14"/>
        <v>Medium</v>
      </c>
      <c r="P315" t="str">
        <f>_xlfn.XLOOKUP(Table1[[#This Row],[Customer ID]],customers!$A$2:$A$1001,customers!$I$2:$I$1001,,0)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INDEX(products!$A$1:$G$49,MATCH(orders!$D316,products!$A$1:$A$49,0),MATCH(I$1,products!$A$1:$G$1,0))</f>
        <v>Rob</v>
      </c>
      <c r="J316" t="str">
        <f>INDEX(products!$A$1:$G$49,MATCH(orders!$D316,products!$A$1:$A$49,0),MATCH(J$1,products!$A$1:$G$1,0))</f>
        <v>D</v>
      </c>
      <c r="K316" s="6">
        <f>INDEX(products!$A$1:$G$49,MATCH(orders!$D316,products!$A$1:$A$49,0),MATCH(K$1,products!$A$1:$G$1,0))</f>
        <v>1</v>
      </c>
      <c r="L316" s="7">
        <f>INDEX(products!$A$1:$G$49,MATCH(orders!$D316,products!$A$1:$A$49,0),MATCH(L$1,products!$A$1:$G$1,0))</f>
        <v>8.9499999999999993</v>
      </c>
      <c r="M316" s="7">
        <f t="shared" si="12"/>
        <v>44.75</v>
      </c>
      <c r="N316" t="str">
        <f t="shared" si="13"/>
        <v>Robusta</v>
      </c>
      <c r="O316" t="str">
        <f t="shared" si="14"/>
        <v>Dark</v>
      </c>
      <c r="P316" t="str">
        <f>_xlfn.XLOOKUP(Table1[[#This Row],[Customer ID]],customers!$A$2:$A$1001,customers!$I$2:$I$1001,,0)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INDEX(products!$A$1:$G$49,MATCH(orders!$D317,products!$A$1:$A$49,0),MATCH(I$1,products!$A$1:$G$1,0))</f>
        <v>Exc</v>
      </c>
      <c r="J317" t="str">
        <f>INDEX(products!$A$1:$G$49,MATCH(orders!$D317,products!$A$1:$A$49,0),MATCH(J$1,products!$A$1:$G$1,0))</f>
        <v>L</v>
      </c>
      <c r="K317" s="6">
        <f>INDEX(products!$A$1:$G$49,MATCH(orders!$D317,products!$A$1:$A$49,0),MATCH(K$1,products!$A$1:$G$1,0))</f>
        <v>2.5</v>
      </c>
      <c r="L317" s="7">
        <f>INDEX(products!$A$1:$G$49,MATCH(orders!$D317,products!$A$1:$A$49,0),MATCH(L$1,products!$A$1:$G$1,0))</f>
        <v>34.154999999999994</v>
      </c>
      <c r="M317" s="7">
        <f t="shared" si="12"/>
        <v>34.154999999999994</v>
      </c>
      <c r="N317" t="str">
        <f t="shared" si="13"/>
        <v>Excelsa</v>
      </c>
      <c r="O317" t="str">
        <f t="shared" si="14"/>
        <v>Light</v>
      </c>
      <c r="P317" t="str">
        <f>_xlfn.XLOOKUP(Table1[[#This Row],[Customer ID]],customers!$A$2:$A$1001,customers!$I$2:$I$1001,,0)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INDEX(products!$A$1:$G$49,MATCH(orders!$D318,products!$A$1:$A$49,0),MATCH(I$1,products!$A$1:$G$1,0))</f>
        <v>Exc</v>
      </c>
      <c r="J318" t="str">
        <f>INDEX(products!$A$1:$G$49,MATCH(orders!$D318,products!$A$1:$A$49,0),MATCH(J$1,products!$A$1:$G$1,0))</f>
        <v>L</v>
      </c>
      <c r="K318" s="6">
        <f>INDEX(products!$A$1:$G$49,MATCH(orders!$D318,products!$A$1:$A$49,0),MATCH(K$1,products!$A$1:$G$1,0))</f>
        <v>2.5</v>
      </c>
      <c r="L318" s="7">
        <f>INDEX(products!$A$1:$G$49,MATCH(orders!$D318,products!$A$1:$A$49,0),MATCH(L$1,products!$A$1:$G$1,0))</f>
        <v>34.154999999999994</v>
      </c>
      <c r="M318" s="7">
        <f t="shared" si="12"/>
        <v>204.92999999999995</v>
      </c>
      <c r="N318" t="str">
        <f t="shared" si="13"/>
        <v>Excelsa</v>
      </c>
      <c r="O318" t="str">
        <f t="shared" si="14"/>
        <v>Light</v>
      </c>
      <c r="P318" t="str">
        <f>_xlfn.XLOOKUP(Table1[[#This Row],[Customer ID]],customers!$A$2:$A$1001,customers!$I$2:$I$1001,,0)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INDEX(products!$A$1:$G$49,MATCH(orders!$D319,products!$A$1:$A$49,0),MATCH(I$1,products!$A$1:$G$1,0))</f>
        <v>Exc</v>
      </c>
      <c r="J319" t="str">
        <f>INDEX(products!$A$1:$G$49,MATCH(orders!$D319,products!$A$1:$A$49,0),MATCH(J$1,products!$A$1:$G$1,0))</f>
        <v>D</v>
      </c>
      <c r="K319" s="6">
        <f>INDEX(products!$A$1:$G$49,MATCH(orders!$D319,products!$A$1:$A$49,0),MATCH(K$1,products!$A$1:$G$1,0))</f>
        <v>0.5</v>
      </c>
      <c r="L319" s="7">
        <f>INDEX(products!$A$1:$G$49,MATCH(orders!$D319,products!$A$1:$A$49,0),MATCH(L$1,products!$A$1:$G$1,0))</f>
        <v>7.29</v>
      </c>
      <c r="M319" s="7">
        <f t="shared" si="12"/>
        <v>21.87</v>
      </c>
      <c r="N319" t="str">
        <f t="shared" si="13"/>
        <v>Excelsa</v>
      </c>
      <c r="O319" t="str">
        <f t="shared" si="14"/>
        <v>Dark</v>
      </c>
      <c r="P319" t="str">
        <f>_xlfn.XLOOKUP(Table1[[#This Row],[Customer ID]],customers!$A$2:$A$1001,customers!$I$2:$I$1001,,0)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INDEX(products!$A$1:$G$49,MATCH(orders!$D320,products!$A$1:$A$49,0),MATCH(I$1,products!$A$1:$G$1,0))</f>
        <v>Ara</v>
      </c>
      <c r="J320" t="str">
        <f>INDEX(products!$A$1:$G$49,MATCH(orders!$D320,products!$A$1:$A$49,0),MATCH(J$1,products!$A$1:$G$1,0))</f>
        <v>M</v>
      </c>
      <c r="K320" s="6">
        <f>INDEX(products!$A$1:$G$49,MATCH(orders!$D320,products!$A$1:$A$49,0),MATCH(K$1,products!$A$1:$G$1,0))</f>
        <v>2.5</v>
      </c>
      <c r="L320" s="7">
        <f>INDEX(products!$A$1:$G$49,MATCH(orders!$D320,products!$A$1:$A$49,0),MATCH(L$1,products!$A$1:$G$1,0))</f>
        <v>25.874999999999996</v>
      </c>
      <c r="M320" s="7">
        <f t="shared" si="12"/>
        <v>51.749999999999993</v>
      </c>
      <c r="N320" t="str">
        <f t="shared" si="13"/>
        <v>Arabica</v>
      </c>
      <c r="O320" t="str">
        <f t="shared" si="14"/>
        <v>Medium</v>
      </c>
      <c r="P320" t="str">
        <f>_xlfn.XLOOKUP(Table1[[#This Row],[Customer ID]],customers!$A$2:$A$1001,customers!$I$2:$I$1001,,0)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INDEX(products!$A$1:$G$49,MATCH(orders!$D321,products!$A$1:$A$49,0),MATCH(I$1,products!$A$1:$G$1,0))</f>
        <v>Exc</v>
      </c>
      <c r="J321" t="str">
        <f>INDEX(products!$A$1:$G$49,MATCH(orders!$D321,products!$A$1:$A$49,0),MATCH(J$1,products!$A$1:$G$1,0))</f>
        <v>M</v>
      </c>
      <c r="K321" s="6">
        <f>INDEX(products!$A$1:$G$49,MATCH(orders!$D321,products!$A$1:$A$49,0),MATCH(K$1,products!$A$1:$G$1,0))</f>
        <v>0.2</v>
      </c>
      <c r="L321" s="7">
        <f>INDEX(products!$A$1:$G$49,MATCH(orders!$D321,products!$A$1:$A$49,0),MATCH(L$1,products!$A$1:$G$1,0))</f>
        <v>4.125</v>
      </c>
      <c r="M321" s="7">
        <f t="shared" si="12"/>
        <v>8.25</v>
      </c>
      <c r="N321" t="str">
        <f t="shared" si="13"/>
        <v>Excelsa</v>
      </c>
      <c r="O321" t="str">
        <f t="shared" si="14"/>
        <v>Medium</v>
      </c>
      <c r="P321" t="str">
        <f>_xlfn.XLOOKUP(Table1[[#This Row],[Customer ID]],customers!$A$2:$A$1001,customers!$I$2:$I$1001,,0)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INDEX(products!$A$1:$G$49,MATCH(orders!$D322,products!$A$1:$A$49,0),MATCH(I$1,products!$A$1:$G$1,0))</f>
        <v>Ara</v>
      </c>
      <c r="J322" t="str">
        <f>INDEX(products!$A$1:$G$49,MATCH(orders!$D322,products!$A$1:$A$49,0),MATCH(J$1,products!$A$1:$G$1,0))</f>
        <v>L</v>
      </c>
      <c r="K322" s="6">
        <f>INDEX(products!$A$1:$G$49,MATCH(orders!$D322,products!$A$1:$A$49,0),MATCH(K$1,products!$A$1:$G$1,0))</f>
        <v>0.2</v>
      </c>
      <c r="L322" s="7">
        <f>INDEX(products!$A$1:$G$49,MATCH(orders!$D322,products!$A$1:$A$49,0),MATCH(L$1,products!$A$1:$G$1,0))</f>
        <v>3.8849999999999998</v>
      </c>
      <c r="M322" s="7">
        <f t="shared" si="12"/>
        <v>19.424999999999997</v>
      </c>
      <c r="N322" t="str">
        <f t="shared" si="13"/>
        <v>Arabica</v>
      </c>
      <c r="O322" t="str">
        <f t="shared" si="14"/>
        <v>Light</v>
      </c>
      <c r="P322" t="str">
        <f>_xlfn.XLOOKUP(Table1[[#This Row],[Customer ID]],customers!$A$2:$A$1001,customers!$I$2:$I$1001,,0)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INDEX(products!$A$1:$G$49,MATCH(orders!$D323,products!$A$1:$A$49,0),MATCH(I$1,products!$A$1:$G$1,0))</f>
        <v>Ara</v>
      </c>
      <c r="J323" t="str">
        <f>INDEX(products!$A$1:$G$49,MATCH(orders!$D323,products!$A$1:$A$49,0),MATCH(J$1,products!$A$1:$G$1,0))</f>
        <v>M</v>
      </c>
      <c r="K323" s="6">
        <f>INDEX(products!$A$1:$G$49,MATCH(orders!$D323,products!$A$1:$A$49,0),MATCH(K$1,products!$A$1:$G$1,0))</f>
        <v>0.2</v>
      </c>
      <c r="L323" s="7">
        <f>INDEX(products!$A$1:$G$49,MATCH(orders!$D323,products!$A$1:$A$49,0),MATCH(L$1,products!$A$1:$G$1,0))</f>
        <v>3.375</v>
      </c>
      <c r="M323" s="7">
        <f t="shared" ref="M323:M386" si="15">L323*E323</f>
        <v>20.25</v>
      </c>
      <c r="N323" t="str">
        <f t="shared" ref="N323:N386" si="16">IF(I323="Rob","Robusta",IF(I323="Exc","Excelsa",IF(I323="Ara","Arabica",IF(I323="Lib","Liberica",""))))</f>
        <v>Arabica</v>
      </c>
      <c r="O323" t="str">
        <f t="shared" ref="O323:O386" si="17">IF(J323="M","Medium",IF(J323="L","Light",IF(J323="D","Dark","")))</f>
        <v>Medium</v>
      </c>
      <c r="P323" t="str">
        <f>_xlfn.XLOOKUP(Table1[[#This Row],[Customer ID]],customers!$A$2:$A$1001,customers!$I$2:$I$1001,,0)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INDEX(products!$A$1:$G$49,MATCH(orders!$D324,products!$A$1:$A$49,0),MATCH(I$1,products!$A$1:$G$1,0))</f>
        <v>Lib</v>
      </c>
      <c r="J324" t="str">
        <f>INDEX(products!$A$1:$G$49,MATCH(orders!$D324,products!$A$1:$A$49,0),MATCH(J$1,products!$A$1:$G$1,0))</f>
        <v>D</v>
      </c>
      <c r="K324" s="6">
        <f>INDEX(products!$A$1:$G$49,MATCH(orders!$D324,products!$A$1:$A$49,0),MATCH(K$1,products!$A$1:$G$1,0))</f>
        <v>0.5</v>
      </c>
      <c r="L324" s="7">
        <f>INDEX(products!$A$1:$G$49,MATCH(orders!$D324,products!$A$1:$A$49,0),MATCH(L$1,products!$A$1:$G$1,0))</f>
        <v>7.77</v>
      </c>
      <c r="M324" s="7">
        <f t="shared" si="15"/>
        <v>23.31</v>
      </c>
      <c r="N324" t="str">
        <f t="shared" si="16"/>
        <v>Liberica</v>
      </c>
      <c r="O324" t="str">
        <f t="shared" si="17"/>
        <v>Dark</v>
      </c>
      <c r="P324" t="str">
        <f>_xlfn.XLOOKUP(Table1[[#This Row],[Customer ID]],customers!$A$2:$A$1001,customers!$I$2:$I$1001,,0)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INDEX(products!$A$1:$G$49,MATCH(orders!$D325,products!$A$1:$A$49,0),MATCH(I$1,products!$A$1:$G$1,0))</f>
        <v>Exc</v>
      </c>
      <c r="J325" t="str">
        <f>INDEX(products!$A$1:$G$49,MATCH(orders!$D325,products!$A$1:$A$49,0),MATCH(J$1,products!$A$1:$G$1,0))</f>
        <v>D</v>
      </c>
      <c r="K325" s="6">
        <f>INDEX(products!$A$1:$G$49,MATCH(orders!$D325,products!$A$1:$A$49,0),MATCH(K$1,products!$A$1:$G$1,0))</f>
        <v>0.2</v>
      </c>
      <c r="L325" s="7">
        <f>INDEX(products!$A$1:$G$49,MATCH(orders!$D325,products!$A$1:$A$49,0),MATCH(L$1,products!$A$1:$G$1,0))</f>
        <v>3.645</v>
      </c>
      <c r="M325" s="7">
        <f t="shared" si="15"/>
        <v>18.225000000000001</v>
      </c>
      <c r="N325" t="str">
        <f t="shared" si="16"/>
        <v>Excelsa</v>
      </c>
      <c r="O325" t="str">
        <f t="shared" si="17"/>
        <v>Dark</v>
      </c>
      <c r="P325" t="str">
        <f>_xlfn.XLOOKUP(Table1[[#This Row],[Customer ID]],customers!$A$2:$A$1001,customers!$I$2:$I$1001,,0)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INDEX(products!$A$1:$G$49,MATCH(orders!$D326,products!$A$1:$A$49,0),MATCH(I$1,products!$A$1:$G$1,0))</f>
        <v>Exc</v>
      </c>
      <c r="J326" t="str">
        <f>INDEX(products!$A$1:$G$49,MATCH(orders!$D326,products!$A$1:$A$49,0),MATCH(J$1,products!$A$1:$G$1,0))</f>
        <v>M</v>
      </c>
      <c r="K326" s="6">
        <f>INDEX(products!$A$1:$G$49,MATCH(orders!$D326,products!$A$1:$A$49,0),MATCH(K$1,products!$A$1:$G$1,0))</f>
        <v>1</v>
      </c>
      <c r="L326" s="7">
        <f>INDEX(products!$A$1:$G$49,MATCH(orders!$D326,products!$A$1:$A$49,0),MATCH(L$1,products!$A$1:$G$1,0))</f>
        <v>13.75</v>
      </c>
      <c r="M326" s="7">
        <f t="shared" si="15"/>
        <v>13.75</v>
      </c>
      <c r="N326" t="str">
        <f t="shared" si="16"/>
        <v>Excelsa</v>
      </c>
      <c r="O326" t="str">
        <f t="shared" si="17"/>
        <v>Medium</v>
      </c>
      <c r="P326" t="str">
        <f>_xlfn.XLOOKUP(Table1[[#This Row],[Customer ID]],customers!$A$2:$A$1001,customers!$I$2:$I$1001,,0)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INDEX(products!$A$1:$G$49,MATCH(orders!$D327,products!$A$1:$A$49,0),MATCH(I$1,products!$A$1:$G$1,0))</f>
        <v>Ara</v>
      </c>
      <c r="J327" t="str">
        <f>INDEX(products!$A$1:$G$49,MATCH(orders!$D327,products!$A$1:$A$49,0),MATCH(J$1,products!$A$1:$G$1,0))</f>
        <v>L</v>
      </c>
      <c r="K327" s="6">
        <f>INDEX(products!$A$1:$G$49,MATCH(orders!$D327,products!$A$1:$A$49,0),MATCH(K$1,products!$A$1:$G$1,0))</f>
        <v>2.5</v>
      </c>
      <c r="L327" s="7">
        <f>INDEX(products!$A$1:$G$49,MATCH(orders!$D327,products!$A$1:$A$49,0),MATCH(L$1,products!$A$1:$G$1,0))</f>
        <v>29.784999999999997</v>
      </c>
      <c r="M327" s="7">
        <f t="shared" si="15"/>
        <v>29.784999999999997</v>
      </c>
      <c r="N327" t="str">
        <f t="shared" si="16"/>
        <v>Arabica</v>
      </c>
      <c r="O327" t="str">
        <f t="shared" si="17"/>
        <v>Light</v>
      </c>
      <c r="P327" t="str">
        <f>_xlfn.XLOOKUP(Table1[[#This Row],[Customer ID]],customers!$A$2:$A$1001,customers!$I$2:$I$1001,,0)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INDEX(products!$A$1:$G$49,MATCH(orders!$D328,products!$A$1:$A$49,0),MATCH(I$1,products!$A$1:$G$1,0))</f>
        <v>Rob</v>
      </c>
      <c r="J328" t="str">
        <f>INDEX(products!$A$1:$G$49,MATCH(orders!$D328,products!$A$1:$A$49,0),MATCH(J$1,products!$A$1:$G$1,0))</f>
        <v>D</v>
      </c>
      <c r="K328" s="6">
        <f>INDEX(products!$A$1:$G$49,MATCH(orders!$D328,products!$A$1:$A$49,0),MATCH(K$1,products!$A$1:$G$1,0))</f>
        <v>1</v>
      </c>
      <c r="L328" s="7">
        <f>INDEX(products!$A$1:$G$49,MATCH(orders!$D328,products!$A$1:$A$49,0),MATCH(L$1,products!$A$1:$G$1,0))</f>
        <v>8.9499999999999993</v>
      </c>
      <c r="M328" s="7">
        <f t="shared" si="15"/>
        <v>44.75</v>
      </c>
      <c r="N328" t="str">
        <f t="shared" si="16"/>
        <v>Robusta</v>
      </c>
      <c r="O328" t="str">
        <f t="shared" si="17"/>
        <v>Dark</v>
      </c>
      <c r="P328" t="str">
        <f>_xlfn.XLOOKUP(Table1[[#This Row],[Customer ID]],customers!$A$2:$A$1001,customers!$I$2:$I$1001,,0)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INDEX(products!$A$1:$G$49,MATCH(orders!$D329,products!$A$1:$A$49,0),MATCH(I$1,products!$A$1:$G$1,0))</f>
        <v>Rob</v>
      </c>
      <c r="J329" t="str">
        <f>INDEX(products!$A$1:$G$49,MATCH(orders!$D329,products!$A$1:$A$49,0),MATCH(J$1,products!$A$1:$G$1,0))</f>
        <v>D</v>
      </c>
      <c r="K329" s="6">
        <f>INDEX(products!$A$1:$G$49,MATCH(orders!$D329,products!$A$1:$A$49,0),MATCH(K$1,products!$A$1:$G$1,0))</f>
        <v>1</v>
      </c>
      <c r="L329" s="7">
        <f>INDEX(products!$A$1:$G$49,MATCH(orders!$D329,products!$A$1:$A$49,0),MATCH(L$1,products!$A$1:$G$1,0))</f>
        <v>8.9499999999999993</v>
      </c>
      <c r="M329" s="7">
        <f t="shared" si="15"/>
        <v>44.75</v>
      </c>
      <c r="N329" t="str">
        <f t="shared" si="16"/>
        <v>Robusta</v>
      </c>
      <c r="O329" t="str">
        <f t="shared" si="17"/>
        <v>Dark</v>
      </c>
      <c r="P329" t="str">
        <f>_xlfn.XLOOKUP(Table1[[#This Row],[Customer ID]],customers!$A$2:$A$1001,customers!$I$2:$I$1001,,0)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INDEX(products!$A$1:$G$49,MATCH(orders!$D330,products!$A$1:$A$49,0),MATCH(I$1,products!$A$1:$G$1,0))</f>
        <v>Lib</v>
      </c>
      <c r="J330" t="str">
        <f>INDEX(products!$A$1:$G$49,MATCH(orders!$D330,products!$A$1:$A$49,0),MATCH(J$1,products!$A$1:$G$1,0))</f>
        <v>L</v>
      </c>
      <c r="K330" s="6">
        <f>INDEX(products!$A$1:$G$49,MATCH(orders!$D330,products!$A$1:$A$49,0),MATCH(K$1,products!$A$1:$G$1,0))</f>
        <v>0.5</v>
      </c>
      <c r="L330" s="7">
        <f>INDEX(products!$A$1:$G$49,MATCH(orders!$D330,products!$A$1:$A$49,0),MATCH(L$1,products!$A$1:$G$1,0))</f>
        <v>9.51</v>
      </c>
      <c r="M330" s="7">
        <f t="shared" si="15"/>
        <v>38.04</v>
      </c>
      <c r="N330" t="str">
        <f t="shared" si="16"/>
        <v>Liberica</v>
      </c>
      <c r="O330" t="str">
        <f t="shared" si="17"/>
        <v>Light</v>
      </c>
      <c r="P330" t="str">
        <f>_xlfn.XLOOKUP(Table1[[#This Row],[Customer ID]],customers!$A$2:$A$1001,customers!$I$2:$I$1001,,0)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INDEX(products!$A$1:$G$49,MATCH(orders!$D331,products!$A$1:$A$49,0),MATCH(I$1,products!$A$1:$G$1,0))</f>
        <v>Rob</v>
      </c>
      <c r="J331" t="str">
        <f>INDEX(products!$A$1:$G$49,MATCH(orders!$D331,products!$A$1:$A$49,0),MATCH(J$1,products!$A$1:$G$1,0))</f>
        <v>D</v>
      </c>
      <c r="K331" s="6">
        <f>INDEX(products!$A$1:$G$49,MATCH(orders!$D331,products!$A$1:$A$49,0),MATCH(K$1,products!$A$1:$G$1,0))</f>
        <v>0.5</v>
      </c>
      <c r="L331" s="7">
        <f>INDEX(products!$A$1:$G$49,MATCH(orders!$D331,products!$A$1:$A$49,0),MATCH(L$1,products!$A$1:$G$1,0))</f>
        <v>5.3699999999999992</v>
      </c>
      <c r="M331" s="7">
        <f t="shared" si="15"/>
        <v>21.479999999999997</v>
      </c>
      <c r="N331" t="str">
        <f t="shared" si="16"/>
        <v>Robusta</v>
      </c>
      <c r="O331" t="str">
        <f t="shared" si="17"/>
        <v>Dark</v>
      </c>
      <c r="P331" t="str">
        <f>_xlfn.XLOOKUP(Table1[[#This Row],[Customer ID]],customers!$A$2:$A$1001,customers!$I$2:$I$1001,,0)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INDEX(products!$A$1:$G$49,MATCH(orders!$D332,products!$A$1:$A$49,0),MATCH(I$1,products!$A$1:$G$1,0))</f>
        <v>Rob</v>
      </c>
      <c r="J332" t="str">
        <f>INDEX(products!$A$1:$G$49,MATCH(orders!$D332,products!$A$1:$A$49,0),MATCH(J$1,products!$A$1:$G$1,0))</f>
        <v>D</v>
      </c>
      <c r="K332" s="6">
        <f>INDEX(products!$A$1:$G$49,MATCH(orders!$D332,products!$A$1:$A$49,0),MATCH(K$1,products!$A$1:$G$1,0))</f>
        <v>0.5</v>
      </c>
      <c r="L332" s="7">
        <f>INDEX(products!$A$1:$G$49,MATCH(orders!$D332,products!$A$1:$A$49,0),MATCH(L$1,products!$A$1:$G$1,0))</f>
        <v>5.3699999999999992</v>
      </c>
      <c r="M332" s="7">
        <f t="shared" si="15"/>
        <v>16.11</v>
      </c>
      <c r="N332" t="str">
        <f t="shared" si="16"/>
        <v>Robusta</v>
      </c>
      <c r="O332" t="str">
        <f t="shared" si="17"/>
        <v>Dark</v>
      </c>
      <c r="P332" t="str">
        <f>_xlfn.XLOOKUP(Table1[[#This Row],[Customer ID]],customers!$A$2:$A$1001,customers!$I$2:$I$1001,,0)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INDEX(products!$A$1:$G$49,MATCH(orders!$D333,products!$A$1:$A$49,0),MATCH(I$1,products!$A$1:$G$1,0))</f>
        <v>Rob</v>
      </c>
      <c r="J333" t="str">
        <f>INDEX(products!$A$1:$G$49,MATCH(orders!$D333,products!$A$1:$A$49,0),MATCH(J$1,products!$A$1:$G$1,0))</f>
        <v>M</v>
      </c>
      <c r="K333" s="6">
        <f>INDEX(products!$A$1:$G$49,MATCH(orders!$D333,products!$A$1:$A$49,0),MATCH(K$1,products!$A$1:$G$1,0))</f>
        <v>2.5</v>
      </c>
      <c r="L333" s="7">
        <f>INDEX(products!$A$1:$G$49,MATCH(orders!$D333,products!$A$1:$A$49,0),MATCH(L$1,products!$A$1:$G$1,0))</f>
        <v>22.884999999999998</v>
      </c>
      <c r="M333" s="7">
        <f t="shared" si="15"/>
        <v>22.884999999999998</v>
      </c>
      <c r="N333" t="str">
        <f t="shared" si="16"/>
        <v>Robusta</v>
      </c>
      <c r="O333" t="str">
        <f t="shared" si="17"/>
        <v>Medium</v>
      </c>
      <c r="P333" t="str">
        <f>_xlfn.XLOOKUP(Table1[[#This Row],[Customer ID]],customers!$A$2:$A$1001,customers!$I$2:$I$1001,,0)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INDEX(products!$A$1:$G$49,MATCH(orders!$D334,products!$A$1:$A$49,0),MATCH(I$1,products!$A$1:$G$1,0))</f>
        <v>Ara</v>
      </c>
      <c r="J334" t="str">
        <f>INDEX(products!$A$1:$G$49,MATCH(orders!$D334,products!$A$1:$A$49,0),MATCH(J$1,products!$A$1:$G$1,0))</f>
        <v>D</v>
      </c>
      <c r="K334" s="6">
        <f>INDEX(products!$A$1:$G$49,MATCH(orders!$D334,products!$A$1:$A$49,0),MATCH(K$1,products!$A$1:$G$1,0))</f>
        <v>0.5</v>
      </c>
      <c r="L334" s="7">
        <f>INDEX(products!$A$1:$G$49,MATCH(orders!$D334,products!$A$1:$A$49,0),MATCH(L$1,products!$A$1:$G$1,0))</f>
        <v>5.97</v>
      </c>
      <c r="M334" s="7">
        <f t="shared" si="15"/>
        <v>17.91</v>
      </c>
      <c r="N334" t="str">
        <f t="shared" si="16"/>
        <v>Arabica</v>
      </c>
      <c r="O334" t="str">
        <f t="shared" si="17"/>
        <v>Dark</v>
      </c>
      <c r="P334" t="str">
        <f>_xlfn.XLOOKUP(Table1[[#This Row],[Customer ID]],customers!$A$2:$A$1001,customers!$I$2:$I$1001,,0)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INDEX(products!$A$1:$G$49,MATCH(orders!$D335,products!$A$1:$A$49,0),MATCH(I$1,products!$A$1:$G$1,0))</f>
        <v>Rob</v>
      </c>
      <c r="J335" t="str">
        <f>INDEX(products!$A$1:$G$49,MATCH(orders!$D335,products!$A$1:$A$49,0),MATCH(J$1,products!$A$1:$G$1,0))</f>
        <v>M</v>
      </c>
      <c r="K335" s="6">
        <f>INDEX(products!$A$1:$G$49,MATCH(orders!$D335,products!$A$1:$A$49,0),MATCH(K$1,products!$A$1:$G$1,0))</f>
        <v>0.5</v>
      </c>
      <c r="L335" s="7">
        <f>INDEX(products!$A$1:$G$49,MATCH(orders!$D335,products!$A$1:$A$49,0),MATCH(L$1,products!$A$1:$G$1,0))</f>
        <v>5.97</v>
      </c>
      <c r="M335" s="7">
        <f t="shared" si="15"/>
        <v>23.88</v>
      </c>
      <c r="N335" t="str">
        <f t="shared" si="16"/>
        <v>Robusta</v>
      </c>
      <c r="O335" t="str">
        <f t="shared" si="17"/>
        <v>Medium</v>
      </c>
      <c r="P335" t="str">
        <f>_xlfn.XLOOKUP(Table1[[#This Row],[Customer ID]],customers!$A$2:$A$1001,customers!$I$2:$I$1001,,0)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INDEX(products!$A$1:$G$49,MATCH(orders!$D336,products!$A$1:$A$49,0),MATCH(I$1,products!$A$1:$G$1,0))</f>
        <v>Rob</v>
      </c>
      <c r="J336" t="str">
        <f>INDEX(products!$A$1:$G$49,MATCH(orders!$D336,products!$A$1:$A$49,0),MATCH(J$1,products!$A$1:$G$1,0))</f>
        <v>L</v>
      </c>
      <c r="K336" s="6">
        <f>INDEX(products!$A$1:$G$49,MATCH(orders!$D336,products!$A$1:$A$49,0),MATCH(K$1,products!$A$1:$G$1,0))</f>
        <v>1</v>
      </c>
      <c r="L336" s="7">
        <f>INDEX(products!$A$1:$G$49,MATCH(orders!$D336,products!$A$1:$A$49,0),MATCH(L$1,products!$A$1:$G$1,0))</f>
        <v>11.95</v>
      </c>
      <c r="M336" s="7">
        <f t="shared" si="15"/>
        <v>59.75</v>
      </c>
      <c r="N336" t="str">
        <f t="shared" si="16"/>
        <v>Robusta</v>
      </c>
      <c r="O336" t="str">
        <f t="shared" si="17"/>
        <v>Light</v>
      </c>
      <c r="P336" t="str">
        <f>_xlfn.XLOOKUP(Table1[[#This Row],[Customer ID]],customers!$A$2:$A$1001,customers!$I$2:$I$1001,,0)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INDEX(products!$A$1:$G$49,MATCH(orders!$D337,products!$A$1:$A$49,0),MATCH(I$1,products!$A$1:$G$1,0))</f>
        <v>Lib</v>
      </c>
      <c r="J337" t="str">
        <f>INDEX(products!$A$1:$G$49,MATCH(orders!$D337,products!$A$1:$A$49,0),MATCH(J$1,products!$A$1:$G$1,0))</f>
        <v>L</v>
      </c>
      <c r="K337" s="6">
        <f>INDEX(products!$A$1:$G$49,MATCH(orders!$D337,products!$A$1:$A$49,0),MATCH(K$1,products!$A$1:$G$1,0))</f>
        <v>0.2</v>
      </c>
      <c r="L337" s="7">
        <f>INDEX(products!$A$1:$G$49,MATCH(orders!$D337,products!$A$1:$A$49,0),MATCH(L$1,products!$A$1:$G$1,0))</f>
        <v>4.7549999999999999</v>
      </c>
      <c r="M337" s="7">
        <f t="shared" si="15"/>
        <v>28.53</v>
      </c>
      <c r="N337" t="str">
        <f t="shared" si="16"/>
        <v>Liberica</v>
      </c>
      <c r="O337" t="str">
        <f t="shared" si="17"/>
        <v>Light</v>
      </c>
      <c r="P337" t="str">
        <f>_xlfn.XLOOKUP(Table1[[#This Row],[Customer ID]],customers!$A$2:$A$1001,customers!$I$2:$I$1001,,0)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INDEX(products!$A$1:$G$49,MATCH(orders!$D338,products!$A$1:$A$49,0),MATCH(I$1,products!$A$1:$G$1,0))</f>
        <v>Ara</v>
      </c>
      <c r="J338" t="str">
        <f>INDEX(products!$A$1:$G$49,MATCH(orders!$D338,products!$A$1:$A$49,0),MATCH(J$1,products!$A$1:$G$1,0))</f>
        <v>M</v>
      </c>
      <c r="K338" s="6">
        <f>INDEX(products!$A$1:$G$49,MATCH(orders!$D338,products!$A$1:$A$49,0),MATCH(K$1,products!$A$1:$G$1,0))</f>
        <v>1</v>
      </c>
      <c r="L338" s="7">
        <f>INDEX(products!$A$1:$G$49,MATCH(orders!$D338,products!$A$1:$A$49,0),MATCH(L$1,products!$A$1:$G$1,0))</f>
        <v>11.25</v>
      </c>
      <c r="M338" s="7">
        <f t="shared" si="15"/>
        <v>45</v>
      </c>
      <c r="N338" t="str">
        <f t="shared" si="16"/>
        <v>Arabica</v>
      </c>
      <c r="O338" t="str">
        <f t="shared" si="17"/>
        <v>Medium</v>
      </c>
      <c r="P338" t="str">
        <f>_xlfn.XLOOKUP(Table1[[#This Row],[Customer ID]],customers!$A$2:$A$1001,customers!$I$2:$I$1001,,0)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INDEX(products!$A$1:$G$49,MATCH(orders!$D339,products!$A$1:$A$49,0),MATCH(I$1,products!$A$1:$G$1,0))</f>
        <v>Exc</v>
      </c>
      <c r="J339" t="str">
        <f>INDEX(products!$A$1:$G$49,MATCH(orders!$D339,products!$A$1:$A$49,0),MATCH(J$1,products!$A$1:$G$1,0))</f>
        <v>D</v>
      </c>
      <c r="K339" s="6">
        <f>INDEX(products!$A$1:$G$49,MATCH(orders!$D339,products!$A$1:$A$49,0),MATCH(K$1,products!$A$1:$G$1,0))</f>
        <v>2.5</v>
      </c>
      <c r="L339" s="7">
        <f>INDEX(products!$A$1:$G$49,MATCH(orders!$D339,products!$A$1:$A$49,0),MATCH(L$1,products!$A$1:$G$1,0))</f>
        <v>27.945</v>
      </c>
      <c r="M339" s="7">
        <f t="shared" si="15"/>
        <v>55.89</v>
      </c>
      <c r="N339" t="str">
        <f t="shared" si="16"/>
        <v>Excelsa</v>
      </c>
      <c r="O339" t="str">
        <f t="shared" si="17"/>
        <v>Dark</v>
      </c>
      <c r="P339" t="str">
        <f>_xlfn.XLOOKUP(Table1[[#This Row],[Customer ID]],customers!$A$2:$A$1001,customers!$I$2:$I$1001,,0)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INDEX(products!$A$1:$G$49,MATCH(orders!$D340,products!$A$1:$A$49,0),MATCH(I$1,products!$A$1:$G$1,0))</f>
        <v>Exc</v>
      </c>
      <c r="J340" t="str">
        <f>INDEX(products!$A$1:$G$49,MATCH(orders!$D340,products!$A$1:$A$49,0),MATCH(J$1,products!$A$1:$G$1,0))</f>
        <v>L</v>
      </c>
      <c r="K340" s="6">
        <f>INDEX(products!$A$1:$G$49,MATCH(orders!$D340,products!$A$1:$A$49,0),MATCH(K$1,products!$A$1:$G$1,0))</f>
        <v>1</v>
      </c>
      <c r="L340" s="7">
        <f>INDEX(products!$A$1:$G$49,MATCH(orders!$D340,products!$A$1:$A$49,0),MATCH(L$1,products!$A$1:$G$1,0))</f>
        <v>14.85</v>
      </c>
      <c r="M340" s="7">
        <f t="shared" si="15"/>
        <v>59.4</v>
      </c>
      <c r="N340" t="str">
        <f t="shared" si="16"/>
        <v>Excelsa</v>
      </c>
      <c r="O340" t="str">
        <f t="shared" si="17"/>
        <v>Light</v>
      </c>
      <c r="P340" t="str">
        <f>_xlfn.XLOOKUP(Table1[[#This Row],[Customer ID]],customers!$A$2:$A$1001,customers!$I$2:$I$1001,,0)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INDEX(products!$A$1:$G$49,MATCH(orders!$D341,products!$A$1:$A$49,0),MATCH(I$1,products!$A$1:$G$1,0))</f>
        <v>Exc</v>
      </c>
      <c r="J341" t="str">
        <f>INDEX(products!$A$1:$G$49,MATCH(orders!$D341,products!$A$1:$A$49,0),MATCH(J$1,products!$A$1:$G$1,0))</f>
        <v>D</v>
      </c>
      <c r="K341" s="6">
        <f>INDEX(products!$A$1:$G$49,MATCH(orders!$D341,products!$A$1:$A$49,0),MATCH(K$1,products!$A$1:$G$1,0))</f>
        <v>0.2</v>
      </c>
      <c r="L341" s="7">
        <f>INDEX(products!$A$1:$G$49,MATCH(orders!$D341,products!$A$1:$A$49,0),MATCH(L$1,products!$A$1:$G$1,0))</f>
        <v>3.645</v>
      </c>
      <c r="M341" s="7">
        <f t="shared" si="15"/>
        <v>7.29</v>
      </c>
      <c r="N341" t="str">
        <f t="shared" si="16"/>
        <v>Excelsa</v>
      </c>
      <c r="O341" t="str">
        <f t="shared" si="17"/>
        <v>Dark</v>
      </c>
      <c r="P341" t="str">
        <f>_xlfn.XLOOKUP(Table1[[#This Row],[Customer ID]],customers!$A$2:$A$1001,customers!$I$2:$I$1001,,0)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INDEX(products!$A$1:$G$49,MATCH(orders!$D342,products!$A$1:$A$49,0),MATCH(I$1,products!$A$1:$G$1,0))</f>
        <v>Exc</v>
      </c>
      <c r="J342" t="str">
        <f>INDEX(products!$A$1:$G$49,MATCH(orders!$D342,products!$A$1:$A$49,0),MATCH(J$1,products!$A$1:$G$1,0))</f>
        <v>D</v>
      </c>
      <c r="K342" s="6">
        <f>INDEX(products!$A$1:$G$49,MATCH(orders!$D342,products!$A$1:$A$49,0),MATCH(K$1,products!$A$1:$G$1,0))</f>
        <v>0.5</v>
      </c>
      <c r="L342" s="7">
        <f>INDEX(products!$A$1:$G$49,MATCH(orders!$D342,products!$A$1:$A$49,0),MATCH(L$1,products!$A$1:$G$1,0))</f>
        <v>7.29</v>
      </c>
      <c r="M342" s="7">
        <f t="shared" si="15"/>
        <v>7.29</v>
      </c>
      <c r="N342" t="str">
        <f t="shared" si="16"/>
        <v>Excelsa</v>
      </c>
      <c r="O342" t="str">
        <f t="shared" si="17"/>
        <v>Dark</v>
      </c>
      <c r="P342" t="str">
        <f>_xlfn.XLOOKUP(Table1[[#This Row],[Customer ID]],customers!$A$2:$A$1001,customers!$I$2:$I$1001,,0)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INDEX(products!$A$1:$G$49,MATCH(orders!$D343,products!$A$1:$A$49,0),MATCH(I$1,products!$A$1:$G$1,0))</f>
        <v>Exc</v>
      </c>
      <c r="J343" t="str">
        <f>INDEX(products!$A$1:$G$49,MATCH(orders!$D343,products!$A$1:$A$49,0),MATCH(J$1,products!$A$1:$G$1,0))</f>
        <v>L</v>
      </c>
      <c r="K343" s="6">
        <f>INDEX(products!$A$1:$G$49,MATCH(orders!$D343,products!$A$1:$A$49,0),MATCH(K$1,products!$A$1:$G$1,0))</f>
        <v>0.5</v>
      </c>
      <c r="L343" s="7">
        <f>INDEX(products!$A$1:$G$49,MATCH(orders!$D343,products!$A$1:$A$49,0),MATCH(L$1,products!$A$1:$G$1,0))</f>
        <v>8.91</v>
      </c>
      <c r="M343" s="7">
        <f t="shared" si="15"/>
        <v>17.82</v>
      </c>
      <c r="N343" t="str">
        <f t="shared" si="16"/>
        <v>Excelsa</v>
      </c>
      <c r="O343" t="str">
        <f t="shared" si="17"/>
        <v>Light</v>
      </c>
      <c r="P343" t="str">
        <f>_xlfn.XLOOKUP(Table1[[#This Row],[Customer ID]],customers!$A$2:$A$1001,customers!$I$2:$I$1001,,0)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INDEX(products!$A$1:$G$49,MATCH(orders!$D344,products!$A$1:$A$49,0),MATCH(I$1,products!$A$1:$G$1,0))</f>
        <v>Lib</v>
      </c>
      <c r="J344" t="str">
        <f>INDEX(products!$A$1:$G$49,MATCH(orders!$D344,products!$A$1:$A$49,0),MATCH(J$1,products!$A$1:$G$1,0))</f>
        <v>D</v>
      </c>
      <c r="K344" s="6">
        <f>INDEX(products!$A$1:$G$49,MATCH(orders!$D344,products!$A$1:$A$49,0),MATCH(K$1,products!$A$1:$G$1,0))</f>
        <v>0.5</v>
      </c>
      <c r="L344" s="7">
        <f>INDEX(products!$A$1:$G$49,MATCH(orders!$D344,products!$A$1:$A$49,0),MATCH(L$1,products!$A$1:$G$1,0))</f>
        <v>7.77</v>
      </c>
      <c r="M344" s="7">
        <f t="shared" si="15"/>
        <v>38.849999999999994</v>
      </c>
      <c r="N344" t="str">
        <f t="shared" si="16"/>
        <v>Liberica</v>
      </c>
      <c r="O344" t="str">
        <f t="shared" si="17"/>
        <v>Dark</v>
      </c>
      <c r="P344" t="str">
        <f>_xlfn.XLOOKUP(Table1[[#This Row],[Customer ID]],customers!$A$2:$A$1001,customers!$I$2:$I$1001,,0)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INDEX(products!$A$1:$G$49,MATCH(orders!$D345,products!$A$1:$A$49,0),MATCH(I$1,products!$A$1:$G$1,0))</f>
        <v>Rob</v>
      </c>
      <c r="J345" t="str">
        <f>INDEX(products!$A$1:$G$49,MATCH(orders!$D345,products!$A$1:$A$49,0),MATCH(J$1,products!$A$1:$G$1,0))</f>
        <v>D</v>
      </c>
      <c r="K345" s="6">
        <f>INDEX(products!$A$1:$G$49,MATCH(orders!$D345,products!$A$1:$A$49,0),MATCH(K$1,products!$A$1:$G$1,0))</f>
        <v>0.5</v>
      </c>
      <c r="L345" s="7">
        <f>INDEX(products!$A$1:$G$49,MATCH(orders!$D345,products!$A$1:$A$49,0),MATCH(L$1,products!$A$1:$G$1,0))</f>
        <v>5.3699999999999992</v>
      </c>
      <c r="M345" s="7">
        <f t="shared" si="15"/>
        <v>32.22</v>
      </c>
      <c r="N345" t="str">
        <f t="shared" si="16"/>
        <v>Robusta</v>
      </c>
      <c r="O345" t="str">
        <f t="shared" si="17"/>
        <v>Dark</v>
      </c>
      <c r="P345" t="str">
        <f>_xlfn.XLOOKUP(Table1[[#This Row],[Customer ID]],customers!$A$2:$A$1001,customers!$I$2:$I$1001,,0)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INDEX(products!$A$1:$G$49,MATCH(orders!$D346,products!$A$1:$A$49,0),MATCH(I$1,products!$A$1:$G$1,0))</f>
        <v>Rob</v>
      </c>
      <c r="J346" t="str">
        <f>INDEX(products!$A$1:$G$49,MATCH(orders!$D346,products!$A$1:$A$49,0),MATCH(J$1,products!$A$1:$G$1,0))</f>
        <v>M</v>
      </c>
      <c r="K346" s="6">
        <f>INDEX(products!$A$1:$G$49,MATCH(orders!$D346,products!$A$1:$A$49,0),MATCH(K$1,products!$A$1:$G$1,0))</f>
        <v>1</v>
      </c>
      <c r="L346" s="7">
        <f>INDEX(products!$A$1:$G$49,MATCH(orders!$D346,products!$A$1:$A$49,0),MATCH(L$1,products!$A$1:$G$1,0))</f>
        <v>9.9499999999999993</v>
      </c>
      <c r="M346" s="7">
        <f t="shared" si="15"/>
        <v>19.899999999999999</v>
      </c>
      <c r="N346" t="str">
        <f t="shared" si="16"/>
        <v>Robusta</v>
      </c>
      <c r="O346" t="str">
        <f t="shared" si="17"/>
        <v>Medium</v>
      </c>
      <c r="P346" t="str">
        <f>_xlfn.XLOOKUP(Table1[[#This Row],[Customer ID]],customers!$A$2:$A$1001,customers!$I$2:$I$1001,,0)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INDEX(products!$A$1:$G$49,MATCH(orders!$D347,products!$A$1:$A$49,0),MATCH(I$1,products!$A$1:$G$1,0))</f>
        <v>Rob</v>
      </c>
      <c r="J347" t="str">
        <f>INDEX(products!$A$1:$G$49,MATCH(orders!$D347,products!$A$1:$A$49,0),MATCH(J$1,products!$A$1:$G$1,0))</f>
        <v>L</v>
      </c>
      <c r="K347" s="6">
        <f>INDEX(products!$A$1:$G$49,MATCH(orders!$D347,products!$A$1:$A$49,0),MATCH(K$1,products!$A$1:$G$1,0))</f>
        <v>1</v>
      </c>
      <c r="L347" s="7">
        <f>INDEX(products!$A$1:$G$49,MATCH(orders!$D347,products!$A$1:$A$49,0),MATCH(L$1,products!$A$1:$G$1,0))</f>
        <v>11.95</v>
      </c>
      <c r="M347" s="7">
        <f t="shared" si="15"/>
        <v>59.75</v>
      </c>
      <c r="N347" t="str">
        <f t="shared" si="16"/>
        <v>Robusta</v>
      </c>
      <c r="O347" t="str">
        <f t="shared" si="17"/>
        <v>Light</v>
      </c>
      <c r="P347" t="str">
        <f>_xlfn.XLOOKUP(Table1[[#This Row],[Customer ID]],customers!$A$2:$A$1001,customers!$I$2:$I$1001,,0)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INDEX(products!$A$1:$G$49,MATCH(orders!$D348,products!$A$1:$A$49,0),MATCH(I$1,products!$A$1:$G$1,0))</f>
        <v>Ara</v>
      </c>
      <c r="J348" t="str">
        <f>INDEX(products!$A$1:$G$49,MATCH(orders!$D348,products!$A$1:$A$49,0),MATCH(J$1,products!$A$1:$G$1,0))</f>
        <v>L</v>
      </c>
      <c r="K348" s="6">
        <f>INDEX(products!$A$1:$G$49,MATCH(orders!$D348,products!$A$1:$A$49,0),MATCH(K$1,products!$A$1:$G$1,0))</f>
        <v>0.5</v>
      </c>
      <c r="L348" s="7">
        <f>INDEX(products!$A$1:$G$49,MATCH(orders!$D348,products!$A$1:$A$49,0),MATCH(L$1,products!$A$1:$G$1,0))</f>
        <v>7.77</v>
      </c>
      <c r="M348" s="7">
        <f t="shared" si="15"/>
        <v>23.31</v>
      </c>
      <c r="N348" t="str">
        <f t="shared" si="16"/>
        <v>Arabica</v>
      </c>
      <c r="O348" t="str">
        <f t="shared" si="17"/>
        <v>Light</v>
      </c>
      <c r="P348" t="str">
        <f>_xlfn.XLOOKUP(Table1[[#This Row],[Customer ID]],customers!$A$2:$A$1001,customers!$I$2:$I$1001,,0)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INDEX(products!$A$1:$G$49,MATCH(orders!$D349,products!$A$1:$A$49,0),MATCH(I$1,products!$A$1:$G$1,0))</f>
        <v>Lib</v>
      </c>
      <c r="J349" t="str">
        <f>INDEX(products!$A$1:$G$49,MATCH(orders!$D349,products!$A$1:$A$49,0),MATCH(J$1,products!$A$1:$G$1,0))</f>
        <v>M</v>
      </c>
      <c r="K349" s="6">
        <f>INDEX(products!$A$1:$G$49,MATCH(orders!$D349,products!$A$1:$A$49,0),MATCH(K$1,products!$A$1:$G$1,0))</f>
        <v>1</v>
      </c>
      <c r="L349" s="7">
        <f>INDEX(products!$A$1:$G$49,MATCH(orders!$D349,products!$A$1:$A$49,0),MATCH(L$1,products!$A$1:$G$1,0))</f>
        <v>14.55</v>
      </c>
      <c r="M349" s="7">
        <f t="shared" si="15"/>
        <v>43.650000000000006</v>
      </c>
      <c r="N349" t="str">
        <f t="shared" si="16"/>
        <v>Liberica</v>
      </c>
      <c r="O349" t="str">
        <f t="shared" si="17"/>
        <v>Medium</v>
      </c>
      <c r="P349" t="str">
        <f>_xlfn.XLOOKUP(Table1[[#This Row],[Customer ID]],customers!$A$2:$A$1001,customers!$I$2:$I$1001,,0)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INDEX(products!$A$1:$G$49,MATCH(orders!$D350,products!$A$1:$A$49,0),MATCH(I$1,products!$A$1:$G$1,0))</f>
        <v>Exc</v>
      </c>
      <c r="J350" t="str">
        <f>INDEX(products!$A$1:$G$49,MATCH(orders!$D350,products!$A$1:$A$49,0),MATCH(J$1,products!$A$1:$G$1,0))</f>
        <v>L</v>
      </c>
      <c r="K350" s="6">
        <f>INDEX(products!$A$1:$G$49,MATCH(orders!$D350,products!$A$1:$A$49,0),MATCH(K$1,products!$A$1:$G$1,0))</f>
        <v>2.5</v>
      </c>
      <c r="L350" s="7">
        <f>INDEX(products!$A$1:$G$49,MATCH(orders!$D350,products!$A$1:$A$49,0),MATCH(L$1,products!$A$1:$G$1,0))</f>
        <v>34.154999999999994</v>
      </c>
      <c r="M350" s="7">
        <f t="shared" si="15"/>
        <v>204.92999999999995</v>
      </c>
      <c r="N350" t="str">
        <f t="shared" si="16"/>
        <v>Excelsa</v>
      </c>
      <c r="O350" t="str">
        <f t="shared" si="17"/>
        <v>Light</v>
      </c>
      <c r="P350" t="str">
        <f>_xlfn.XLOOKUP(Table1[[#This Row],[Customer ID]],customers!$A$2:$A$1001,customers!$I$2:$I$1001,,0)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INDEX(products!$A$1:$G$49,MATCH(orders!$D351,products!$A$1:$A$49,0),MATCH(I$1,products!$A$1:$G$1,0))</f>
        <v>Rob</v>
      </c>
      <c r="J351" t="str">
        <f>INDEX(products!$A$1:$G$49,MATCH(orders!$D351,products!$A$1:$A$49,0),MATCH(J$1,products!$A$1:$G$1,0))</f>
        <v>L</v>
      </c>
      <c r="K351" s="6">
        <f>INDEX(products!$A$1:$G$49,MATCH(orders!$D351,products!$A$1:$A$49,0),MATCH(K$1,products!$A$1:$G$1,0))</f>
        <v>0.2</v>
      </c>
      <c r="L351" s="7">
        <f>INDEX(products!$A$1:$G$49,MATCH(orders!$D351,products!$A$1:$A$49,0),MATCH(L$1,products!$A$1:$G$1,0))</f>
        <v>3.5849999999999995</v>
      </c>
      <c r="M351" s="7">
        <f t="shared" si="15"/>
        <v>14.339999999999998</v>
      </c>
      <c r="N351" t="str">
        <f t="shared" si="16"/>
        <v>Robusta</v>
      </c>
      <c r="O351" t="str">
        <f t="shared" si="17"/>
        <v>Light</v>
      </c>
      <c r="P351" t="str">
        <f>_xlfn.XLOOKUP(Table1[[#This Row],[Customer ID]],customers!$A$2:$A$1001,customers!$I$2:$I$1001,,0)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INDEX(products!$A$1:$G$49,MATCH(orders!$D352,products!$A$1:$A$49,0),MATCH(I$1,products!$A$1:$G$1,0))</f>
        <v>Ara</v>
      </c>
      <c r="J352" t="str">
        <f>INDEX(products!$A$1:$G$49,MATCH(orders!$D352,products!$A$1:$A$49,0),MATCH(J$1,products!$A$1:$G$1,0))</f>
        <v>D</v>
      </c>
      <c r="K352" s="6">
        <f>INDEX(products!$A$1:$G$49,MATCH(orders!$D352,products!$A$1:$A$49,0),MATCH(K$1,products!$A$1:$G$1,0))</f>
        <v>0.5</v>
      </c>
      <c r="L352" s="7">
        <f>INDEX(products!$A$1:$G$49,MATCH(orders!$D352,products!$A$1:$A$49,0),MATCH(L$1,products!$A$1:$G$1,0))</f>
        <v>5.97</v>
      </c>
      <c r="M352" s="7">
        <f t="shared" si="15"/>
        <v>23.88</v>
      </c>
      <c r="N352" t="str">
        <f t="shared" si="16"/>
        <v>Arabica</v>
      </c>
      <c r="O352" t="str">
        <f t="shared" si="17"/>
        <v>Dark</v>
      </c>
      <c r="P352" t="str">
        <f>_xlfn.XLOOKUP(Table1[[#This Row],[Customer ID]],customers!$A$2:$A$1001,customers!$I$2:$I$1001,,0)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INDEX(products!$A$1:$G$49,MATCH(orders!$D353,products!$A$1:$A$49,0),MATCH(I$1,products!$A$1:$G$1,0))</f>
        <v>Ara</v>
      </c>
      <c r="J353" t="str">
        <f>INDEX(products!$A$1:$G$49,MATCH(orders!$D353,products!$A$1:$A$49,0),MATCH(J$1,products!$A$1:$G$1,0))</f>
        <v>M</v>
      </c>
      <c r="K353" s="6">
        <f>INDEX(products!$A$1:$G$49,MATCH(orders!$D353,products!$A$1:$A$49,0),MATCH(K$1,products!$A$1:$G$1,0))</f>
        <v>1</v>
      </c>
      <c r="L353" s="7">
        <f>INDEX(products!$A$1:$G$49,MATCH(orders!$D353,products!$A$1:$A$49,0),MATCH(L$1,products!$A$1:$G$1,0))</f>
        <v>11.25</v>
      </c>
      <c r="M353" s="7">
        <f t="shared" si="15"/>
        <v>22.5</v>
      </c>
      <c r="N353" t="str">
        <f t="shared" si="16"/>
        <v>Arabica</v>
      </c>
      <c r="O353" t="str">
        <f t="shared" si="17"/>
        <v>Medium</v>
      </c>
      <c r="P353" t="str">
        <f>_xlfn.XLOOKUP(Table1[[#This Row],[Customer ID]],customers!$A$2:$A$1001,customers!$I$2:$I$1001,,0)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INDEX(products!$A$1:$G$49,MATCH(orders!$D354,products!$A$1:$A$49,0),MATCH(I$1,products!$A$1:$G$1,0))</f>
        <v>Exc</v>
      </c>
      <c r="J354" t="str">
        <f>INDEX(products!$A$1:$G$49,MATCH(orders!$D354,products!$A$1:$A$49,0),MATCH(J$1,products!$A$1:$G$1,0))</f>
        <v>D</v>
      </c>
      <c r="K354" s="6">
        <f>INDEX(products!$A$1:$G$49,MATCH(orders!$D354,products!$A$1:$A$49,0),MATCH(K$1,products!$A$1:$G$1,0))</f>
        <v>0.5</v>
      </c>
      <c r="L354" s="7">
        <f>INDEX(products!$A$1:$G$49,MATCH(orders!$D354,products!$A$1:$A$49,0),MATCH(L$1,products!$A$1:$G$1,0))</f>
        <v>7.29</v>
      </c>
      <c r="M354" s="7">
        <f t="shared" si="15"/>
        <v>36.450000000000003</v>
      </c>
      <c r="N354" t="str">
        <f t="shared" si="16"/>
        <v>Excelsa</v>
      </c>
      <c r="O354" t="str">
        <f t="shared" si="17"/>
        <v>Dark</v>
      </c>
      <c r="P354" t="str">
        <f>_xlfn.XLOOKUP(Table1[[#This Row],[Customer ID]],customers!$A$2:$A$1001,customers!$I$2:$I$1001,,0)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INDEX(products!$A$1:$G$49,MATCH(orders!$D355,products!$A$1:$A$49,0),MATCH(I$1,products!$A$1:$G$1,0))</f>
        <v>Ara</v>
      </c>
      <c r="J355" t="str">
        <f>INDEX(products!$A$1:$G$49,MATCH(orders!$D355,products!$A$1:$A$49,0),MATCH(J$1,products!$A$1:$G$1,0))</f>
        <v>M</v>
      </c>
      <c r="K355" s="6">
        <f>INDEX(products!$A$1:$G$49,MATCH(orders!$D355,products!$A$1:$A$49,0),MATCH(K$1,products!$A$1:$G$1,0))</f>
        <v>0.5</v>
      </c>
      <c r="L355" s="7">
        <f>INDEX(products!$A$1:$G$49,MATCH(orders!$D355,products!$A$1:$A$49,0),MATCH(L$1,products!$A$1:$G$1,0))</f>
        <v>6.75</v>
      </c>
      <c r="M355" s="7">
        <f t="shared" si="15"/>
        <v>27</v>
      </c>
      <c r="N355" t="str">
        <f t="shared" si="16"/>
        <v>Arabica</v>
      </c>
      <c r="O355" t="str">
        <f t="shared" si="17"/>
        <v>Medium</v>
      </c>
      <c r="P355" t="str">
        <f>_xlfn.XLOOKUP(Table1[[#This Row],[Customer ID]],customers!$A$2:$A$1001,customers!$I$2:$I$1001,,0)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INDEX(products!$A$1:$G$49,MATCH(orders!$D356,products!$A$1:$A$49,0),MATCH(I$1,products!$A$1:$G$1,0))</f>
        <v>Ara</v>
      </c>
      <c r="J356" t="str">
        <f>INDEX(products!$A$1:$G$49,MATCH(orders!$D356,products!$A$1:$A$49,0),MATCH(J$1,products!$A$1:$G$1,0))</f>
        <v>M</v>
      </c>
      <c r="K356" s="6">
        <f>INDEX(products!$A$1:$G$49,MATCH(orders!$D356,products!$A$1:$A$49,0),MATCH(K$1,products!$A$1:$G$1,0))</f>
        <v>2.5</v>
      </c>
      <c r="L356" s="7">
        <f>INDEX(products!$A$1:$G$49,MATCH(orders!$D356,products!$A$1:$A$49,0),MATCH(L$1,products!$A$1:$G$1,0))</f>
        <v>25.874999999999996</v>
      </c>
      <c r="M356" s="7">
        <f t="shared" si="15"/>
        <v>155.24999999999997</v>
      </c>
      <c r="N356" t="str">
        <f t="shared" si="16"/>
        <v>Arabica</v>
      </c>
      <c r="O356" t="str">
        <f t="shared" si="17"/>
        <v>Medium</v>
      </c>
      <c r="P356" t="str">
        <f>_xlfn.XLOOKUP(Table1[[#This Row],[Customer ID]],customers!$A$2:$A$1001,customers!$I$2:$I$1001,,0)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INDEX(products!$A$1:$G$49,MATCH(orders!$D357,products!$A$1:$A$49,0),MATCH(I$1,products!$A$1:$G$1,0))</f>
        <v>Ara</v>
      </c>
      <c r="J357" t="str">
        <f>INDEX(products!$A$1:$G$49,MATCH(orders!$D357,products!$A$1:$A$49,0),MATCH(J$1,products!$A$1:$G$1,0))</f>
        <v>D</v>
      </c>
      <c r="K357" s="6">
        <f>INDEX(products!$A$1:$G$49,MATCH(orders!$D357,products!$A$1:$A$49,0),MATCH(K$1,products!$A$1:$G$1,0))</f>
        <v>2.5</v>
      </c>
      <c r="L357" s="7">
        <f>INDEX(products!$A$1:$G$49,MATCH(orders!$D357,products!$A$1:$A$49,0),MATCH(L$1,products!$A$1:$G$1,0))</f>
        <v>22.884999999999998</v>
      </c>
      <c r="M357" s="7">
        <f t="shared" si="15"/>
        <v>114.42499999999998</v>
      </c>
      <c r="N357" t="str">
        <f t="shared" si="16"/>
        <v>Arabica</v>
      </c>
      <c r="O357" t="str">
        <f t="shared" si="17"/>
        <v>Dark</v>
      </c>
      <c r="P357" t="str">
        <f>_xlfn.XLOOKUP(Table1[[#This Row],[Customer ID]],customers!$A$2:$A$1001,customers!$I$2:$I$1001,,0)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INDEX(products!$A$1:$G$49,MATCH(orders!$D358,products!$A$1:$A$49,0),MATCH(I$1,products!$A$1:$G$1,0))</f>
        <v>Lib</v>
      </c>
      <c r="J358" t="str">
        <f>INDEX(products!$A$1:$G$49,MATCH(orders!$D358,products!$A$1:$A$49,0),MATCH(J$1,products!$A$1:$G$1,0))</f>
        <v>D</v>
      </c>
      <c r="K358" s="6">
        <f>INDEX(products!$A$1:$G$49,MATCH(orders!$D358,products!$A$1:$A$49,0),MATCH(K$1,products!$A$1:$G$1,0))</f>
        <v>1</v>
      </c>
      <c r="L358" s="7">
        <f>INDEX(products!$A$1:$G$49,MATCH(orders!$D358,products!$A$1:$A$49,0),MATCH(L$1,products!$A$1:$G$1,0))</f>
        <v>12.95</v>
      </c>
      <c r="M358" s="7">
        <f t="shared" si="15"/>
        <v>51.8</v>
      </c>
      <c r="N358" t="str">
        <f t="shared" si="16"/>
        <v>Liberica</v>
      </c>
      <c r="O358" t="str">
        <f t="shared" si="17"/>
        <v>Dark</v>
      </c>
      <c r="P358" t="str">
        <f>_xlfn.XLOOKUP(Table1[[#This Row],[Customer ID]],customers!$A$2:$A$1001,customers!$I$2:$I$1001,,0)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INDEX(products!$A$1:$G$49,MATCH(orders!$D359,products!$A$1:$A$49,0),MATCH(I$1,products!$A$1:$G$1,0))</f>
        <v>Ara</v>
      </c>
      <c r="J359" t="str">
        <f>INDEX(products!$A$1:$G$49,MATCH(orders!$D359,products!$A$1:$A$49,0),MATCH(J$1,products!$A$1:$G$1,0))</f>
        <v>M</v>
      </c>
      <c r="K359" s="6">
        <f>INDEX(products!$A$1:$G$49,MATCH(orders!$D359,products!$A$1:$A$49,0),MATCH(K$1,products!$A$1:$G$1,0))</f>
        <v>2.5</v>
      </c>
      <c r="L359" s="7">
        <f>INDEX(products!$A$1:$G$49,MATCH(orders!$D359,products!$A$1:$A$49,0),MATCH(L$1,products!$A$1:$G$1,0))</f>
        <v>25.874999999999996</v>
      </c>
      <c r="M359" s="7">
        <f t="shared" si="15"/>
        <v>155.24999999999997</v>
      </c>
      <c r="N359" t="str">
        <f t="shared" si="16"/>
        <v>Arabica</v>
      </c>
      <c r="O359" t="str">
        <f t="shared" si="17"/>
        <v>Medium</v>
      </c>
      <c r="P359" t="str">
        <f>_xlfn.XLOOKUP(Table1[[#This Row],[Customer ID]],customers!$A$2:$A$1001,customers!$I$2:$I$1001,,0)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INDEX(products!$A$1:$G$49,MATCH(orders!$D360,products!$A$1:$A$49,0),MATCH(I$1,products!$A$1:$G$1,0))</f>
        <v>Ara</v>
      </c>
      <c r="J360" t="str">
        <f>INDEX(products!$A$1:$G$49,MATCH(orders!$D360,products!$A$1:$A$49,0),MATCH(J$1,products!$A$1:$G$1,0))</f>
        <v>L</v>
      </c>
      <c r="K360" s="6">
        <f>INDEX(products!$A$1:$G$49,MATCH(orders!$D360,products!$A$1:$A$49,0),MATCH(K$1,products!$A$1:$G$1,0))</f>
        <v>2.5</v>
      </c>
      <c r="L360" s="7">
        <f>INDEX(products!$A$1:$G$49,MATCH(orders!$D360,products!$A$1:$A$49,0),MATCH(L$1,products!$A$1:$G$1,0))</f>
        <v>29.784999999999997</v>
      </c>
      <c r="M360" s="7">
        <f t="shared" si="15"/>
        <v>29.784999999999997</v>
      </c>
      <c r="N360" t="str">
        <f t="shared" si="16"/>
        <v>Arabica</v>
      </c>
      <c r="O360" t="str">
        <f t="shared" si="17"/>
        <v>Light</v>
      </c>
      <c r="P360" t="str">
        <f>_xlfn.XLOOKUP(Table1[[#This Row],[Customer ID]],customers!$A$2:$A$1001,customers!$I$2:$I$1001,,0)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INDEX(products!$A$1:$G$49,MATCH(orders!$D361,products!$A$1:$A$49,0),MATCH(I$1,products!$A$1:$G$1,0))</f>
        <v>Rob</v>
      </c>
      <c r="J361" t="str">
        <f>INDEX(products!$A$1:$G$49,MATCH(orders!$D361,products!$A$1:$A$49,0),MATCH(J$1,products!$A$1:$G$1,0))</f>
        <v>L</v>
      </c>
      <c r="K361" s="6">
        <f>INDEX(products!$A$1:$G$49,MATCH(orders!$D361,products!$A$1:$A$49,0),MATCH(K$1,products!$A$1:$G$1,0))</f>
        <v>0.2</v>
      </c>
      <c r="L361" s="7">
        <f>INDEX(products!$A$1:$G$49,MATCH(orders!$D361,products!$A$1:$A$49,0),MATCH(L$1,products!$A$1:$G$1,0))</f>
        <v>3.5849999999999995</v>
      </c>
      <c r="M361" s="7">
        <f t="shared" si="15"/>
        <v>21.509999999999998</v>
      </c>
      <c r="N361" t="str">
        <f t="shared" si="16"/>
        <v>Robusta</v>
      </c>
      <c r="O361" t="str">
        <f t="shared" si="17"/>
        <v>Light</v>
      </c>
      <c r="P361" t="str">
        <f>_xlfn.XLOOKUP(Table1[[#This Row],[Customer ID]],customers!$A$2:$A$1001,customers!$I$2:$I$1001,,0)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INDEX(products!$A$1:$G$49,MATCH(orders!$D362,products!$A$1:$A$49,0),MATCH(I$1,products!$A$1:$G$1,0))</f>
        <v>Rob</v>
      </c>
      <c r="J362" t="str">
        <f>INDEX(products!$A$1:$G$49,MATCH(orders!$D362,products!$A$1:$A$49,0),MATCH(J$1,products!$A$1:$G$1,0))</f>
        <v>D</v>
      </c>
      <c r="K362" s="6">
        <f>INDEX(products!$A$1:$G$49,MATCH(orders!$D362,products!$A$1:$A$49,0),MATCH(K$1,products!$A$1:$G$1,0))</f>
        <v>2.5</v>
      </c>
      <c r="L362" s="7">
        <f>INDEX(products!$A$1:$G$49,MATCH(orders!$D362,products!$A$1:$A$49,0),MATCH(L$1,products!$A$1:$G$1,0))</f>
        <v>20.584999999999997</v>
      </c>
      <c r="M362" s="7">
        <f t="shared" si="15"/>
        <v>41.169999999999995</v>
      </c>
      <c r="N362" t="str">
        <f t="shared" si="16"/>
        <v>Robusta</v>
      </c>
      <c r="O362" t="str">
        <f t="shared" si="17"/>
        <v>Dark</v>
      </c>
      <c r="P362" t="str">
        <f>_xlfn.XLOOKUP(Table1[[#This Row],[Customer ID]],customers!$A$2:$A$1001,customers!$I$2:$I$1001,,0)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INDEX(products!$A$1:$G$49,MATCH(orders!$D363,products!$A$1:$A$49,0),MATCH(I$1,products!$A$1:$G$1,0))</f>
        <v>Rob</v>
      </c>
      <c r="J363" t="str">
        <f>INDEX(products!$A$1:$G$49,MATCH(orders!$D363,products!$A$1:$A$49,0),MATCH(J$1,products!$A$1:$G$1,0))</f>
        <v>M</v>
      </c>
      <c r="K363" s="6">
        <f>INDEX(products!$A$1:$G$49,MATCH(orders!$D363,products!$A$1:$A$49,0),MATCH(K$1,products!$A$1:$G$1,0))</f>
        <v>0.5</v>
      </c>
      <c r="L363" s="7">
        <f>INDEX(products!$A$1:$G$49,MATCH(orders!$D363,products!$A$1:$A$49,0),MATCH(L$1,products!$A$1:$G$1,0))</f>
        <v>5.97</v>
      </c>
      <c r="M363" s="7">
        <f t="shared" si="15"/>
        <v>5.97</v>
      </c>
      <c r="N363" t="str">
        <f t="shared" si="16"/>
        <v>Robusta</v>
      </c>
      <c r="O363" t="str">
        <f t="shared" si="17"/>
        <v>Medium</v>
      </c>
      <c r="P363" t="str">
        <f>_xlfn.XLOOKUP(Table1[[#This Row],[Customer ID]],customers!$A$2:$A$1001,customers!$I$2:$I$1001,,0)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INDEX(products!$A$1:$G$49,MATCH(orders!$D364,products!$A$1:$A$49,0),MATCH(I$1,products!$A$1:$G$1,0))</f>
        <v>Exc</v>
      </c>
      <c r="J364" t="str">
        <f>INDEX(products!$A$1:$G$49,MATCH(orders!$D364,products!$A$1:$A$49,0),MATCH(J$1,products!$A$1:$G$1,0))</f>
        <v>L</v>
      </c>
      <c r="K364" s="6">
        <f>INDEX(products!$A$1:$G$49,MATCH(orders!$D364,products!$A$1:$A$49,0),MATCH(K$1,products!$A$1:$G$1,0))</f>
        <v>1</v>
      </c>
      <c r="L364" s="7">
        <f>INDEX(products!$A$1:$G$49,MATCH(orders!$D364,products!$A$1:$A$49,0),MATCH(L$1,products!$A$1:$G$1,0))</f>
        <v>14.85</v>
      </c>
      <c r="M364" s="7">
        <f t="shared" si="15"/>
        <v>74.25</v>
      </c>
      <c r="N364" t="str">
        <f t="shared" si="16"/>
        <v>Excelsa</v>
      </c>
      <c r="O364" t="str">
        <f t="shared" si="17"/>
        <v>Light</v>
      </c>
      <c r="P364" t="str">
        <f>_xlfn.XLOOKUP(Table1[[#This Row],[Customer ID]],customers!$A$2:$A$1001,customers!$I$2:$I$1001,,0)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INDEX(products!$A$1:$G$49,MATCH(orders!$D365,products!$A$1:$A$49,0),MATCH(I$1,products!$A$1:$G$1,0))</f>
        <v>Lib</v>
      </c>
      <c r="J365" t="str">
        <f>INDEX(products!$A$1:$G$49,MATCH(orders!$D365,products!$A$1:$A$49,0),MATCH(J$1,products!$A$1:$G$1,0))</f>
        <v>M</v>
      </c>
      <c r="K365" s="6">
        <f>INDEX(products!$A$1:$G$49,MATCH(orders!$D365,products!$A$1:$A$49,0),MATCH(K$1,products!$A$1:$G$1,0))</f>
        <v>1</v>
      </c>
      <c r="L365" s="7">
        <f>INDEX(products!$A$1:$G$49,MATCH(orders!$D365,products!$A$1:$A$49,0),MATCH(L$1,products!$A$1:$G$1,0))</f>
        <v>14.55</v>
      </c>
      <c r="M365" s="7">
        <f t="shared" si="15"/>
        <v>87.300000000000011</v>
      </c>
      <c r="N365" t="str">
        <f t="shared" si="16"/>
        <v>Liberica</v>
      </c>
      <c r="O365" t="str">
        <f t="shared" si="17"/>
        <v>Medium</v>
      </c>
      <c r="P365" t="str">
        <f>_xlfn.XLOOKUP(Table1[[#This Row],[Customer ID]],customers!$A$2:$A$1001,customers!$I$2:$I$1001,,0)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INDEX(products!$A$1:$G$49,MATCH(orders!$D366,products!$A$1:$A$49,0),MATCH(I$1,products!$A$1:$G$1,0))</f>
        <v>Exc</v>
      </c>
      <c r="J366" t="str">
        <f>INDEX(products!$A$1:$G$49,MATCH(orders!$D366,products!$A$1:$A$49,0),MATCH(J$1,products!$A$1:$G$1,0))</f>
        <v>D</v>
      </c>
      <c r="K366" s="6">
        <f>INDEX(products!$A$1:$G$49,MATCH(orders!$D366,products!$A$1:$A$49,0),MATCH(K$1,products!$A$1:$G$1,0))</f>
        <v>1</v>
      </c>
      <c r="L366" s="7">
        <f>INDEX(products!$A$1:$G$49,MATCH(orders!$D366,products!$A$1:$A$49,0),MATCH(L$1,products!$A$1:$G$1,0))</f>
        <v>12.15</v>
      </c>
      <c r="M366" s="7">
        <f t="shared" si="15"/>
        <v>72.900000000000006</v>
      </c>
      <c r="N366" t="str">
        <f t="shared" si="16"/>
        <v>Excelsa</v>
      </c>
      <c r="O366" t="str">
        <f t="shared" si="17"/>
        <v>Dark</v>
      </c>
      <c r="P366" t="str">
        <f>_xlfn.XLOOKUP(Table1[[#This Row],[Customer ID]],customers!$A$2:$A$1001,customers!$I$2:$I$1001,,0)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INDEX(products!$A$1:$G$49,MATCH(orders!$D367,products!$A$1:$A$49,0),MATCH(I$1,products!$A$1:$G$1,0))</f>
        <v>Lib</v>
      </c>
      <c r="J367" t="str">
        <f>INDEX(products!$A$1:$G$49,MATCH(orders!$D367,products!$A$1:$A$49,0),MATCH(J$1,products!$A$1:$G$1,0))</f>
        <v>D</v>
      </c>
      <c r="K367" s="6">
        <f>INDEX(products!$A$1:$G$49,MATCH(orders!$D367,products!$A$1:$A$49,0),MATCH(K$1,products!$A$1:$G$1,0))</f>
        <v>0.5</v>
      </c>
      <c r="L367" s="7">
        <f>INDEX(products!$A$1:$G$49,MATCH(orders!$D367,products!$A$1:$A$49,0),MATCH(L$1,products!$A$1:$G$1,0))</f>
        <v>7.77</v>
      </c>
      <c r="M367" s="7">
        <f t="shared" si="15"/>
        <v>7.77</v>
      </c>
      <c r="N367" t="str">
        <f t="shared" si="16"/>
        <v>Liberica</v>
      </c>
      <c r="O367" t="str">
        <f t="shared" si="17"/>
        <v>Dark</v>
      </c>
      <c r="P367" t="str">
        <f>_xlfn.XLOOKUP(Table1[[#This Row],[Customer ID]],customers!$A$2:$A$1001,customers!$I$2:$I$1001,,0)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INDEX(products!$A$1:$G$49,MATCH(orders!$D368,products!$A$1:$A$49,0),MATCH(I$1,products!$A$1:$G$1,0))</f>
        <v>Exc</v>
      </c>
      <c r="J368" t="str">
        <f>INDEX(products!$A$1:$G$49,MATCH(orders!$D368,products!$A$1:$A$49,0),MATCH(J$1,products!$A$1:$G$1,0))</f>
        <v>D</v>
      </c>
      <c r="K368" s="6">
        <f>INDEX(products!$A$1:$G$49,MATCH(orders!$D368,products!$A$1:$A$49,0),MATCH(K$1,products!$A$1:$G$1,0))</f>
        <v>0.5</v>
      </c>
      <c r="L368" s="7">
        <f>INDEX(products!$A$1:$G$49,MATCH(orders!$D368,products!$A$1:$A$49,0),MATCH(L$1,products!$A$1:$G$1,0))</f>
        <v>7.29</v>
      </c>
      <c r="M368" s="7">
        <f t="shared" si="15"/>
        <v>43.74</v>
      </c>
      <c r="N368" t="str">
        <f t="shared" si="16"/>
        <v>Excelsa</v>
      </c>
      <c r="O368" t="str">
        <f t="shared" si="17"/>
        <v>Dark</v>
      </c>
      <c r="P368" t="str">
        <f>_xlfn.XLOOKUP(Table1[[#This Row],[Customer ID]],customers!$A$2:$A$1001,customers!$I$2:$I$1001,,0)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INDEX(products!$A$1:$G$49,MATCH(orders!$D369,products!$A$1:$A$49,0),MATCH(I$1,products!$A$1:$G$1,0))</f>
        <v>Lib</v>
      </c>
      <c r="J369" t="str">
        <f>INDEX(products!$A$1:$G$49,MATCH(orders!$D369,products!$A$1:$A$49,0),MATCH(J$1,products!$A$1:$G$1,0))</f>
        <v>M</v>
      </c>
      <c r="K369" s="6">
        <f>INDEX(products!$A$1:$G$49,MATCH(orders!$D369,products!$A$1:$A$49,0),MATCH(K$1,products!$A$1:$G$1,0))</f>
        <v>0.2</v>
      </c>
      <c r="L369" s="7">
        <f>INDEX(products!$A$1:$G$49,MATCH(orders!$D369,products!$A$1:$A$49,0),MATCH(L$1,products!$A$1:$G$1,0))</f>
        <v>4.3650000000000002</v>
      </c>
      <c r="M369" s="7">
        <f t="shared" si="15"/>
        <v>8.73</v>
      </c>
      <c r="N369" t="str">
        <f t="shared" si="16"/>
        <v>Liberica</v>
      </c>
      <c r="O369" t="str">
        <f t="shared" si="17"/>
        <v>Medium</v>
      </c>
      <c r="P369" t="str">
        <f>_xlfn.XLOOKUP(Table1[[#This Row],[Customer ID]],customers!$A$2:$A$1001,customers!$I$2:$I$1001,,0)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INDEX(products!$A$1:$G$49,MATCH(orders!$D370,products!$A$1:$A$49,0),MATCH(I$1,products!$A$1:$G$1,0))</f>
        <v>Exc</v>
      </c>
      <c r="J370" t="str">
        <f>INDEX(products!$A$1:$G$49,MATCH(orders!$D370,products!$A$1:$A$49,0),MATCH(J$1,products!$A$1:$G$1,0))</f>
        <v>M</v>
      </c>
      <c r="K370" s="6">
        <f>INDEX(products!$A$1:$G$49,MATCH(orders!$D370,products!$A$1:$A$49,0),MATCH(K$1,products!$A$1:$G$1,0))</f>
        <v>2.5</v>
      </c>
      <c r="L370" s="7">
        <f>INDEX(products!$A$1:$G$49,MATCH(orders!$D370,products!$A$1:$A$49,0),MATCH(L$1,products!$A$1:$G$1,0))</f>
        <v>31.624999999999996</v>
      </c>
      <c r="M370" s="7">
        <f t="shared" si="15"/>
        <v>63.249999999999993</v>
      </c>
      <c r="N370" t="str">
        <f t="shared" si="16"/>
        <v>Excelsa</v>
      </c>
      <c r="O370" t="str">
        <f t="shared" si="17"/>
        <v>Medium</v>
      </c>
      <c r="P370" t="str">
        <f>_xlfn.XLOOKUP(Table1[[#This Row],[Customer ID]],customers!$A$2:$A$1001,customers!$I$2:$I$1001,,0)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INDEX(products!$A$1:$G$49,MATCH(orders!$D371,products!$A$1:$A$49,0),MATCH(I$1,products!$A$1:$G$1,0))</f>
        <v>Exc</v>
      </c>
      <c r="J371" t="str">
        <f>INDEX(products!$A$1:$G$49,MATCH(orders!$D371,products!$A$1:$A$49,0),MATCH(J$1,products!$A$1:$G$1,0))</f>
        <v>L</v>
      </c>
      <c r="K371" s="6">
        <f>INDEX(products!$A$1:$G$49,MATCH(orders!$D371,products!$A$1:$A$49,0),MATCH(K$1,products!$A$1:$G$1,0))</f>
        <v>0.5</v>
      </c>
      <c r="L371" s="7">
        <f>INDEX(products!$A$1:$G$49,MATCH(orders!$D371,products!$A$1:$A$49,0),MATCH(L$1,products!$A$1:$G$1,0))</f>
        <v>8.91</v>
      </c>
      <c r="M371" s="7">
        <f t="shared" si="15"/>
        <v>8.91</v>
      </c>
      <c r="N371" t="str">
        <f t="shared" si="16"/>
        <v>Excelsa</v>
      </c>
      <c r="O371" t="str">
        <f t="shared" si="17"/>
        <v>Light</v>
      </c>
      <c r="P371" t="str">
        <f>_xlfn.XLOOKUP(Table1[[#This Row],[Customer ID]],customers!$A$2:$A$1001,customers!$I$2:$I$1001,,0)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INDEX(products!$A$1:$G$49,MATCH(orders!$D372,products!$A$1:$A$49,0),MATCH(I$1,products!$A$1:$G$1,0))</f>
        <v>Exc</v>
      </c>
      <c r="J372" t="str">
        <f>INDEX(products!$A$1:$G$49,MATCH(orders!$D372,products!$A$1:$A$49,0),MATCH(J$1,products!$A$1:$G$1,0))</f>
        <v>D</v>
      </c>
      <c r="K372" s="6">
        <f>INDEX(products!$A$1:$G$49,MATCH(orders!$D372,products!$A$1:$A$49,0),MATCH(K$1,products!$A$1:$G$1,0))</f>
        <v>1</v>
      </c>
      <c r="L372" s="7">
        <f>INDEX(products!$A$1:$G$49,MATCH(orders!$D372,products!$A$1:$A$49,0),MATCH(L$1,products!$A$1:$G$1,0))</f>
        <v>12.15</v>
      </c>
      <c r="M372" s="7">
        <f t="shared" si="15"/>
        <v>24.3</v>
      </c>
      <c r="N372" t="str">
        <f t="shared" si="16"/>
        <v>Excelsa</v>
      </c>
      <c r="O372" t="str">
        <f t="shared" si="17"/>
        <v>Dark</v>
      </c>
      <c r="P372" t="str">
        <f>_xlfn.XLOOKUP(Table1[[#This Row],[Customer ID]],customers!$A$2:$A$1001,customers!$I$2:$I$1001,,0)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INDEX(products!$A$1:$G$49,MATCH(orders!$D373,products!$A$1:$A$49,0),MATCH(I$1,products!$A$1:$G$1,0))</f>
        <v>Ara</v>
      </c>
      <c r="J373" t="str">
        <f>INDEX(products!$A$1:$G$49,MATCH(orders!$D373,products!$A$1:$A$49,0),MATCH(J$1,products!$A$1:$G$1,0))</f>
        <v>L</v>
      </c>
      <c r="K373" s="6">
        <f>INDEX(products!$A$1:$G$49,MATCH(orders!$D373,products!$A$1:$A$49,0),MATCH(K$1,products!$A$1:$G$1,0))</f>
        <v>0.5</v>
      </c>
      <c r="L373" s="7">
        <f>INDEX(products!$A$1:$G$49,MATCH(orders!$D373,products!$A$1:$A$49,0),MATCH(L$1,products!$A$1:$G$1,0))</f>
        <v>7.77</v>
      </c>
      <c r="M373" s="7">
        <f t="shared" si="15"/>
        <v>46.62</v>
      </c>
      <c r="N373" t="str">
        <f t="shared" si="16"/>
        <v>Arabica</v>
      </c>
      <c r="O373" t="str">
        <f t="shared" si="17"/>
        <v>Light</v>
      </c>
      <c r="P373" t="str">
        <f>_xlfn.XLOOKUP(Table1[[#This Row],[Customer ID]],customers!$A$2:$A$1001,customers!$I$2:$I$1001,,0)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INDEX(products!$A$1:$G$49,MATCH(orders!$D374,products!$A$1:$A$49,0),MATCH(I$1,products!$A$1:$G$1,0))</f>
        <v>Rob</v>
      </c>
      <c r="J374" t="str">
        <f>INDEX(products!$A$1:$G$49,MATCH(orders!$D374,products!$A$1:$A$49,0),MATCH(J$1,products!$A$1:$G$1,0))</f>
        <v>L</v>
      </c>
      <c r="K374" s="6">
        <f>INDEX(products!$A$1:$G$49,MATCH(orders!$D374,products!$A$1:$A$49,0),MATCH(K$1,products!$A$1:$G$1,0))</f>
        <v>0.5</v>
      </c>
      <c r="L374" s="7">
        <f>INDEX(products!$A$1:$G$49,MATCH(orders!$D374,products!$A$1:$A$49,0),MATCH(L$1,products!$A$1:$G$1,0))</f>
        <v>7.169999999999999</v>
      </c>
      <c r="M374" s="7">
        <f t="shared" si="15"/>
        <v>43.019999999999996</v>
      </c>
      <c r="N374" t="str">
        <f t="shared" si="16"/>
        <v>Robusta</v>
      </c>
      <c r="O374" t="str">
        <f t="shared" si="17"/>
        <v>Light</v>
      </c>
      <c r="P374" t="str">
        <f>_xlfn.XLOOKUP(Table1[[#This Row],[Customer ID]],customers!$A$2:$A$1001,customers!$I$2:$I$1001,,0)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INDEX(products!$A$1:$G$49,MATCH(orders!$D375,products!$A$1:$A$49,0),MATCH(I$1,products!$A$1:$G$1,0))</f>
        <v>Ara</v>
      </c>
      <c r="J375" t="str">
        <f>INDEX(products!$A$1:$G$49,MATCH(orders!$D375,products!$A$1:$A$49,0),MATCH(J$1,products!$A$1:$G$1,0))</f>
        <v>D</v>
      </c>
      <c r="K375" s="6">
        <f>INDEX(products!$A$1:$G$49,MATCH(orders!$D375,products!$A$1:$A$49,0),MATCH(K$1,products!$A$1:$G$1,0))</f>
        <v>0.5</v>
      </c>
      <c r="L375" s="7">
        <f>INDEX(products!$A$1:$G$49,MATCH(orders!$D375,products!$A$1:$A$49,0),MATCH(L$1,products!$A$1:$G$1,0))</f>
        <v>5.97</v>
      </c>
      <c r="M375" s="7">
        <f t="shared" si="15"/>
        <v>17.91</v>
      </c>
      <c r="N375" t="str">
        <f t="shared" si="16"/>
        <v>Arabica</v>
      </c>
      <c r="O375" t="str">
        <f t="shared" si="17"/>
        <v>Dark</v>
      </c>
      <c r="P375" t="str">
        <f>_xlfn.XLOOKUP(Table1[[#This Row],[Customer ID]],customers!$A$2:$A$1001,customers!$I$2:$I$1001,,0)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INDEX(products!$A$1:$G$49,MATCH(orders!$D376,products!$A$1:$A$49,0),MATCH(I$1,products!$A$1:$G$1,0))</f>
        <v>Lib</v>
      </c>
      <c r="J376" t="str">
        <f>INDEX(products!$A$1:$G$49,MATCH(orders!$D376,products!$A$1:$A$49,0),MATCH(J$1,products!$A$1:$G$1,0))</f>
        <v>L</v>
      </c>
      <c r="K376" s="6">
        <f>INDEX(products!$A$1:$G$49,MATCH(orders!$D376,products!$A$1:$A$49,0),MATCH(K$1,products!$A$1:$G$1,0))</f>
        <v>0.5</v>
      </c>
      <c r="L376" s="7">
        <f>INDEX(products!$A$1:$G$49,MATCH(orders!$D376,products!$A$1:$A$49,0),MATCH(L$1,products!$A$1:$G$1,0))</f>
        <v>9.51</v>
      </c>
      <c r="M376" s="7">
        <f t="shared" si="15"/>
        <v>38.04</v>
      </c>
      <c r="N376" t="str">
        <f t="shared" si="16"/>
        <v>Liberica</v>
      </c>
      <c r="O376" t="str">
        <f t="shared" si="17"/>
        <v>Light</v>
      </c>
      <c r="P376" t="str">
        <f>_xlfn.XLOOKUP(Table1[[#This Row],[Customer ID]],customers!$A$2:$A$1001,customers!$I$2:$I$1001,,0)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INDEX(products!$A$1:$G$49,MATCH(orders!$D377,products!$A$1:$A$49,0),MATCH(I$1,products!$A$1:$G$1,0))</f>
        <v>Ara</v>
      </c>
      <c r="J377" t="str">
        <f>INDEX(products!$A$1:$G$49,MATCH(orders!$D377,products!$A$1:$A$49,0),MATCH(J$1,products!$A$1:$G$1,0))</f>
        <v>M</v>
      </c>
      <c r="K377" s="6">
        <f>INDEX(products!$A$1:$G$49,MATCH(orders!$D377,products!$A$1:$A$49,0),MATCH(K$1,products!$A$1:$G$1,0))</f>
        <v>0.2</v>
      </c>
      <c r="L377" s="7">
        <f>INDEX(products!$A$1:$G$49,MATCH(orders!$D377,products!$A$1:$A$49,0),MATCH(L$1,products!$A$1:$G$1,0))</f>
        <v>3.375</v>
      </c>
      <c r="M377" s="7">
        <f t="shared" si="15"/>
        <v>6.75</v>
      </c>
      <c r="N377" t="str">
        <f t="shared" si="16"/>
        <v>Arabica</v>
      </c>
      <c r="O377" t="str">
        <f t="shared" si="17"/>
        <v>Medium</v>
      </c>
      <c r="P377" t="str">
        <f>_xlfn.XLOOKUP(Table1[[#This Row],[Customer ID]],customers!$A$2:$A$1001,customers!$I$2:$I$1001,,0)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INDEX(products!$A$1:$G$49,MATCH(orders!$D378,products!$A$1:$A$49,0),MATCH(I$1,products!$A$1:$G$1,0))</f>
        <v>Rob</v>
      </c>
      <c r="J378" t="str">
        <f>INDEX(products!$A$1:$G$49,MATCH(orders!$D378,products!$A$1:$A$49,0),MATCH(J$1,products!$A$1:$G$1,0))</f>
        <v>M</v>
      </c>
      <c r="K378" s="6">
        <f>INDEX(products!$A$1:$G$49,MATCH(orders!$D378,products!$A$1:$A$49,0),MATCH(K$1,products!$A$1:$G$1,0))</f>
        <v>0.5</v>
      </c>
      <c r="L378" s="7">
        <f>INDEX(products!$A$1:$G$49,MATCH(orders!$D378,products!$A$1:$A$49,0),MATCH(L$1,products!$A$1:$G$1,0))</f>
        <v>5.97</v>
      </c>
      <c r="M378" s="7">
        <f t="shared" si="15"/>
        <v>5.97</v>
      </c>
      <c r="N378" t="str">
        <f t="shared" si="16"/>
        <v>Robusta</v>
      </c>
      <c r="O378" t="str">
        <f t="shared" si="17"/>
        <v>Medium</v>
      </c>
      <c r="P378" t="str">
        <f>_xlfn.XLOOKUP(Table1[[#This Row],[Customer ID]],customers!$A$2:$A$1001,customers!$I$2:$I$1001,,0)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INDEX(products!$A$1:$G$49,MATCH(orders!$D379,products!$A$1:$A$49,0),MATCH(I$1,products!$A$1:$G$1,0))</f>
        <v>Rob</v>
      </c>
      <c r="J379" t="str">
        <f>INDEX(products!$A$1:$G$49,MATCH(orders!$D379,products!$A$1:$A$49,0),MATCH(J$1,products!$A$1:$G$1,0))</f>
        <v>D</v>
      </c>
      <c r="K379" s="6">
        <f>INDEX(products!$A$1:$G$49,MATCH(orders!$D379,products!$A$1:$A$49,0),MATCH(K$1,products!$A$1:$G$1,0))</f>
        <v>0.2</v>
      </c>
      <c r="L379" s="7">
        <f>INDEX(products!$A$1:$G$49,MATCH(orders!$D379,products!$A$1:$A$49,0),MATCH(L$1,products!$A$1:$G$1,0))</f>
        <v>2.6849999999999996</v>
      </c>
      <c r="M379" s="7">
        <f t="shared" si="15"/>
        <v>8.0549999999999997</v>
      </c>
      <c r="N379" t="str">
        <f t="shared" si="16"/>
        <v>Robusta</v>
      </c>
      <c r="O379" t="str">
        <f t="shared" si="17"/>
        <v>Dark</v>
      </c>
      <c r="P379" t="str">
        <f>_xlfn.XLOOKUP(Table1[[#This Row],[Customer ID]],customers!$A$2:$A$1001,customers!$I$2:$I$1001,,0)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INDEX(products!$A$1:$G$49,MATCH(orders!$D380,products!$A$1:$A$49,0),MATCH(I$1,products!$A$1:$G$1,0))</f>
        <v>Ara</v>
      </c>
      <c r="J380" t="str">
        <f>INDEX(products!$A$1:$G$49,MATCH(orders!$D380,products!$A$1:$A$49,0),MATCH(J$1,products!$A$1:$G$1,0))</f>
        <v>L</v>
      </c>
      <c r="K380" s="6">
        <f>INDEX(products!$A$1:$G$49,MATCH(orders!$D380,products!$A$1:$A$49,0),MATCH(K$1,products!$A$1:$G$1,0))</f>
        <v>0.5</v>
      </c>
      <c r="L380" s="7">
        <f>INDEX(products!$A$1:$G$49,MATCH(orders!$D380,products!$A$1:$A$49,0),MATCH(L$1,products!$A$1:$G$1,0))</f>
        <v>7.77</v>
      </c>
      <c r="M380" s="7">
        <f t="shared" si="15"/>
        <v>23.31</v>
      </c>
      <c r="N380" t="str">
        <f t="shared" si="16"/>
        <v>Arabica</v>
      </c>
      <c r="O380" t="str">
        <f t="shared" si="17"/>
        <v>Light</v>
      </c>
      <c r="P380" t="str">
        <f>_xlfn.XLOOKUP(Table1[[#This Row],[Customer ID]],customers!$A$2:$A$1001,customers!$I$2:$I$1001,,0)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INDEX(products!$A$1:$G$49,MATCH(orders!$D381,products!$A$1:$A$49,0),MATCH(I$1,products!$A$1:$G$1,0))</f>
        <v>Rob</v>
      </c>
      <c r="J381" t="str">
        <f>INDEX(products!$A$1:$G$49,MATCH(orders!$D381,products!$A$1:$A$49,0),MATCH(J$1,products!$A$1:$G$1,0))</f>
        <v>L</v>
      </c>
      <c r="K381" s="6">
        <f>INDEX(products!$A$1:$G$49,MATCH(orders!$D381,products!$A$1:$A$49,0),MATCH(K$1,products!$A$1:$G$1,0))</f>
        <v>0.5</v>
      </c>
      <c r="L381" s="7">
        <f>INDEX(products!$A$1:$G$49,MATCH(orders!$D381,products!$A$1:$A$49,0),MATCH(L$1,products!$A$1:$G$1,0))</f>
        <v>7.169999999999999</v>
      </c>
      <c r="M381" s="7">
        <f t="shared" si="15"/>
        <v>43.019999999999996</v>
      </c>
      <c r="N381" t="str">
        <f t="shared" si="16"/>
        <v>Robusta</v>
      </c>
      <c r="O381" t="str">
        <f t="shared" si="17"/>
        <v>Light</v>
      </c>
      <c r="P381" t="str">
        <f>_xlfn.XLOOKUP(Table1[[#This Row],[Customer ID]],customers!$A$2:$A$1001,customers!$I$2:$I$1001,,0)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INDEX(products!$A$1:$G$49,MATCH(orders!$D382,products!$A$1:$A$49,0),MATCH(I$1,products!$A$1:$G$1,0))</f>
        <v>Lib</v>
      </c>
      <c r="J382" t="str">
        <f>INDEX(products!$A$1:$G$49,MATCH(orders!$D382,products!$A$1:$A$49,0),MATCH(J$1,products!$A$1:$G$1,0))</f>
        <v>D</v>
      </c>
      <c r="K382" s="6">
        <f>INDEX(products!$A$1:$G$49,MATCH(orders!$D382,products!$A$1:$A$49,0),MATCH(K$1,products!$A$1:$G$1,0))</f>
        <v>0.5</v>
      </c>
      <c r="L382" s="7">
        <f>INDEX(products!$A$1:$G$49,MATCH(orders!$D382,products!$A$1:$A$49,0),MATCH(L$1,products!$A$1:$G$1,0))</f>
        <v>7.77</v>
      </c>
      <c r="M382" s="7">
        <f t="shared" si="15"/>
        <v>23.31</v>
      </c>
      <c r="N382" t="str">
        <f t="shared" si="16"/>
        <v>Liberica</v>
      </c>
      <c r="O382" t="str">
        <f t="shared" si="17"/>
        <v>Dark</v>
      </c>
      <c r="P382" t="str">
        <f>_xlfn.XLOOKUP(Table1[[#This Row],[Customer ID]],customers!$A$2:$A$1001,customers!$I$2:$I$1001,,0)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INDEX(products!$A$1:$G$49,MATCH(orders!$D383,products!$A$1:$A$49,0),MATCH(I$1,products!$A$1:$G$1,0))</f>
        <v>Ara</v>
      </c>
      <c r="J383" t="str">
        <f>INDEX(products!$A$1:$G$49,MATCH(orders!$D383,products!$A$1:$A$49,0),MATCH(J$1,products!$A$1:$G$1,0))</f>
        <v>D</v>
      </c>
      <c r="K383" s="6">
        <f>INDEX(products!$A$1:$G$49,MATCH(orders!$D383,products!$A$1:$A$49,0),MATCH(K$1,products!$A$1:$G$1,0))</f>
        <v>0.2</v>
      </c>
      <c r="L383" s="7">
        <f>INDEX(products!$A$1:$G$49,MATCH(orders!$D383,products!$A$1:$A$49,0),MATCH(L$1,products!$A$1:$G$1,0))</f>
        <v>2.9849999999999999</v>
      </c>
      <c r="M383" s="7">
        <f t="shared" si="15"/>
        <v>14.924999999999999</v>
      </c>
      <c r="N383" t="str">
        <f t="shared" si="16"/>
        <v>Arabica</v>
      </c>
      <c r="O383" t="str">
        <f t="shared" si="17"/>
        <v>Dark</v>
      </c>
      <c r="P383" t="str">
        <f>_xlfn.XLOOKUP(Table1[[#This Row],[Customer ID]],customers!$A$2:$A$1001,customers!$I$2:$I$1001,,0)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INDEX(products!$A$1:$G$49,MATCH(orders!$D384,products!$A$1:$A$49,0),MATCH(I$1,products!$A$1:$G$1,0))</f>
        <v>Exc</v>
      </c>
      <c r="J384" t="str">
        <f>INDEX(products!$A$1:$G$49,MATCH(orders!$D384,products!$A$1:$A$49,0),MATCH(J$1,products!$A$1:$G$1,0))</f>
        <v>D</v>
      </c>
      <c r="K384" s="6">
        <f>INDEX(products!$A$1:$G$49,MATCH(orders!$D384,products!$A$1:$A$49,0),MATCH(K$1,products!$A$1:$G$1,0))</f>
        <v>0.5</v>
      </c>
      <c r="L384" s="7">
        <f>INDEX(products!$A$1:$G$49,MATCH(orders!$D384,products!$A$1:$A$49,0),MATCH(L$1,products!$A$1:$G$1,0))</f>
        <v>7.29</v>
      </c>
      <c r="M384" s="7">
        <f t="shared" si="15"/>
        <v>21.87</v>
      </c>
      <c r="N384" t="str">
        <f t="shared" si="16"/>
        <v>Excelsa</v>
      </c>
      <c r="O384" t="str">
        <f t="shared" si="17"/>
        <v>Dark</v>
      </c>
      <c r="P384" t="str">
        <f>_xlfn.XLOOKUP(Table1[[#This Row],[Customer ID]],customers!$A$2:$A$1001,customers!$I$2:$I$1001,,0)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INDEX(products!$A$1:$G$49,MATCH(orders!$D385,products!$A$1:$A$49,0),MATCH(I$1,products!$A$1:$G$1,0))</f>
        <v>Exc</v>
      </c>
      <c r="J385" t="str">
        <f>INDEX(products!$A$1:$G$49,MATCH(orders!$D385,products!$A$1:$A$49,0),MATCH(J$1,products!$A$1:$G$1,0))</f>
        <v>L</v>
      </c>
      <c r="K385" s="6">
        <f>INDEX(products!$A$1:$G$49,MATCH(orders!$D385,products!$A$1:$A$49,0),MATCH(K$1,products!$A$1:$G$1,0))</f>
        <v>0.5</v>
      </c>
      <c r="L385" s="7">
        <f>INDEX(products!$A$1:$G$49,MATCH(orders!$D385,products!$A$1:$A$49,0),MATCH(L$1,products!$A$1:$G$1,0))</f>
        <v>8.91</v>
      </c>
      <c r="M385" s="7">
        <f t="shared" si="15"/>
        <v>53.46</v>
      </c>
      <c r="N385" t="str">
        <f t="shared" si="16"/>
        <v>Excelsa</v>
      </c>
      <c r="O385" t="str">
        <f t="shared" si="17"/>
        <v>Light</v>
      </c>
      <c r="P385" t="str">
        <f>_xlfn.XLOOKUP(Table1[[#This Row],[Customer ID]],customers!$A$2:$A$1001,customers!$I$2:$I$1001,,0)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INDEX(products!$A$1:$G$49,MATCH(orders!$D386,products!$A$1:$A$49,0),MATCH(I$1,products!$A$1:$G$1,0))</f>
        <v>Ara</v>
      </c>
      <c r="J386" t="str">
        <f>INDEX(products!$A$1:$G$49,MATCH(orders!$D386,products!$A$1:$A$49,0),MATCH(J$1,products!$A$1:$G$1,0))</f>
        <v>L</v>
      </c>
      <c r="K386" s="6">
        <f>INDEX(products!$A$1:$G$49,MATCH(orders!$D386,products!$A$1:$A$49,0),MATCH(K$1,products!$A$1:$G$1,0))</f>
        <v>2.5</v>
      </c>
      <c r="L386" s="7">
        <f>INDEX(products!$A$1:$G$49,MATCH(orders!$D386,products!$A$1:$A$49,0),MATCH(L$1,products!$A$1:$G$1,0))</f>
        <v>29.784999999999997</v>
      </c>
      <c r="M386" s="7">
        <f t="shared" si="15"/>
        <v>119.13999999999999</v>
      </c>
      <c r="N386" t="str">
        <f t="shared" si="16"/>
        <v>Arabica</v>
      </c>
      <c r="O386" t="str">
        <f t="shared" si="17"/>
        <v>Light</v>
      </c>
      <c r="P386" t="str">
        <f>_xlfn.XLOOKUP(Table1[[#This Row],[Customer ID]],customers!$A$2:$A$1001,customers!$I$2:$I$1001,,0)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INDEX(products!$A$1:$G$49,MATCH(orders!$D387,products!$A$1:$A$49,0),MATCH(I$1,products!$A$1:$G$1,0))</f>
        <v>Lib</v>
      </c>
      <c r="J387" t="str">
        <f>INDEX(products!$A$1:$G$49,MATCH(orders!$D387,products!$A$1:$A$49,0),MATCH(J$1,products!$A$1:$G$1,0))</f>
        <v>M</v>
      </c>
      <c r="K387" s="6">
        <f>INDEX(products!$A$1:$G$49,MATCH(orders!$D387,products!$A$1:$A$49,0),MATCH(K$1,products!$A$1:$G$1,0))</f>
        <v>0.5</v>
      </c>
      <c r="L387" s="7">
        <f>INDEX(products!$A$1:$G$49,MATCH(orders!$D387,products!$A$1:$A$49,0),MATCH(L$1,products!$A$1:$G$1,0))</f>
        <v>8.73</v>
      </c>
      <c r="M387" s="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_xlfn.XLOOKUP(Table1[[#This Row],[Customer ID]],customers!$A$2:$A$1001,customers!$I$2:$I$1001,,0)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INDEX(products!$A$1:$G$49,MATCH(orders!$D388,products!$A$1:$A$49,0),MATCH(I$1,products!$A$1:$G$1,0))</f>
        <v>Ara</v>
      </c>
      <c r="J388" t="str">
        <f>INDEX(products!$A$1:$G$49,MATCH(orders!$D388,products!$A$1:$A$49,0),MATCH(J$1,products!$A$1:$G$1,0))</f>
        <v>D</v>
      </c>
      <c r="K388" s="6">
        <f>INDEX(products!$A$1:$G$49,MATCH(orders!$D388,products!$A$1:$A$49,0),MATCH(K$1,products!$A$1:$G$1,0))</f>
        <v>0.2</v>
      </c>
      <c r="L388" s="7">
        <f>INDEX(products!$A$1:$G$49,MATCH(orders!$D388,products!$A$1:$A$49,0),MATCH(L$1,products!$A$1:$G$1,0))</f>
        <v>2.9849999999999999</v>
      </c>
      <c r="M388" s="7">
        <f t="shared" si="18"/>
        <v>17.91</v>
      </c>
      <c r="N388" t="str">
        <f t="shared" si="19"/>
        <v>Arabica</v>
      </c>
      <c r="O388" t="str">
        <f t="shared" si="20"/>
        <v>Dark</v>
      </c>
      <c r="P388" t="str">
        <f>_xlfn.XLOOKUP(Table1[[#This Row],[Customer ID]],customers!$A$2:$A$1001,customers!$I$2:$I$1001,,0)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INDEX(products!$A$1:$G$49,MATCH(orders!$D389,products!$A$1:$A$49,0),MATCH(I$1,products!$A$1:$G$1,0))</f>
        <v>Exc</v>
      </c>
      <c r="J389" t="str">
        <f>INDEX(products!$A$1:$G$49,MATCH(orders!$D389,products!$A$1:$A$49,0),MATCH(J$1,products!$A$1:$G$1,0))</f>
        <v>L</v>
      </c>
      <c r="K389" s="6">
        <f>INDEX(products!$A$1:$G$49,MATCH(orders!$D389,products!$A$1:$A$49,0),MATCH(K$1,products!$A$1:$G$1,0))</f>
        <v>1</v>
      </c>
      <c r="L389" s="7">
        <f>INDEX(products!$A$1:$G$49,MATCH(orders!$D389,products!$A$1:$A$49,0),MATCH(L$1,products!$A$1:$G$1,0))</f>
        <v>14.85</v>
      </c>
      <c r="M389" s="7">
        <f t="shared" si="18"/>
        <v>74.25</v>
      </c>
      <c r="N389" t="str">
        <f t="shared" si="19"/>
        <v>Excelsa</v>
      </c>
      <c r="O389" t="str">
        <f t="shared" si="20"/>
        <v>Light</v>
      </c>
      <c r="P389" t="str">
        <f>_xlfn.XLOOKUP(Table1[[#This Row],[Customer ID]],customers!$A$2:$A$1001,customers!$I$2:$I$1001,,0)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INDEX(products!$A$1:$G$49,MATCH(orders!$D390,products!$A$1:$A$49,0),MATCH(I$1,products!$A$1:$G$1,0))</f>
        <v>Lib</v>
      </c>
      <c r="J390" t="str">
        <f>INDEX(products!$A$1:$G$49,MATCH(orders!$D390,products!$A$1:$A$49,0),MATCH(J$1,products!$A$1:$G$1,0))</f>
        <v>D</v>
      </c>
      <c r="K390" s="6">
        <f>INDEX(products!$A$1:$G$49,MATCH(orders!$D390,products!$A$1:$A$49,0),MATCH(K$1,products!$A$1:$G$1,0))</f>
        <v>0.2</v>
      </c>
      <c r="L390" s="7">
        <f>INDEX(products!$A$1:$G$49,MATCH(orders!$D390,products!$A$1:$A$49,0),MATCH(L$1,products!$A$1:$G$1,0))</f>
        <v>3.8849999999999998</v>
      </c>
      <c r="M390" s="7">
        <f t="shared" si="18"/>
        <v>11.654999999999999</v>
      </c>
      <c r="N390" t="str">
        <f t="shared" si="19"/>
        <v>Liberica</v>
      </c>
      <c r="O390" t="str">
        <f t="shared" si="20"/>
        <v>Dark</v>
      </c>
      <c r="P390" t="str">
        <f>_xlfn.XLOOKUP(Table1[[#This Row],[Customer ID]],customers!$A$2:$A$1001,customers!$I$2:$I$1001,,0)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INDEX(products!$A$1:$G$49,MATCH(orders!$D391,products!$A$1:$A$49,0),MATCH(I$1,products!$A$1:$G$1,0))</f>
        <v>Lib</v>
      </c>
      <c r="J391" t="str">
        <f>INDEX(products!$A$1:$G$49,MATCH(orders!$D391,products!$A$1:$A$49,0),MATCH(J$1,products!$A$1:$G$1,0))</f>
        <v>D</v>
      </c>
      <c r="K391" s="6">
        <f>INDEX(products!$A$1:$G$49,MATCH(orders!$D391,products!$A$1:$A$49,0),MATCH(K$1,products!$A$1:$G$1,0))</f>
        <v>0.5</v>
      </c>
      <c r="L391" s="7">
        <f>INDEX(products!$A$1:$G$49,MATCH(orders!$D391,products!$A$1:$A$49,0),MATCH(L$1,products!$A$1:$G$1,0))</f>
        <v>7.77</v>
      </c>
      <c r="M391" s="7">
        <f t="shared" si="18"/>
        <v>23.31</v>
      </c>
      <c r="N391" t="str">
        <f t="shared" si="19"/>
        <v>Liberica</v>
      </c>
      <c r="O391" t="str">
        <f t="shared" si="20"/>
        <v>Dark</v>
      </c>
      <c r="P391" t="str">
        <f>_xlfn.XLOOKUP(Table1[[#This Row],[Customer ID]],customers!$A$2:$A$1001,customers!$I$2:$I$1001,,0)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INDEX(products!$A$1:$G$49,MATCH(orders!$D392,products!$A$1:$A$49,0),MATCH(I$1,products!$A$1:$G$1,0))</f>
        <v>Exc</v>
      </c>
      <c r="J392" t="str">
        <f>INDEX(products!$A$1:$G$49,MATCH(orders!$D392,products!$A$1:$A$49,0),MATCH(J$1,products!$A$1:$G$1,0))</f>
        <v>D</v>
      </c>
      <c r="K392" s="6">
        <f>INDEX(products!$A$1:$G$49,MATCH(orders!$D392,products!$A$1:$A$49,0),MATCH(K$1,products!$A$1:$G$1,0))</f>
        <v>0.5</v>
      </c>
      <c r="L392" s="7">
        <f>INDEX(products!$A$1:$G$49,MATCH(orders!$D392,products!$A$1:$A$49,0),MATCH(L$1,products!$A$1:$G$1,0))</f>
        <v>7.29</v>
      </c>
      <c r="M392" s="7">
        <f t="shared" si="18"/>
        <v>14.58</v>
      </c>
      <c r="N392" t="str">
        <f t="shared" si="19"/>
        <v>Excelsa</v>
      </c>
      <c r="O392" t="str">
        <f t="shared" si="20"/>
        <v>Dark</v>
      </c>
      <c r="P392" t="str">
        <f>_xlfn.XLOOKUP(Table1[[#This Row],[Customer ID]],customers!$A$2:$A$1001,customers!$I$2:$I$1001,,0)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INDEX(products!$A$1:$G$49,MATCH(orders!$D393,products!$A$1:$A$49,0),MATCH(I$1,products!$A$1:$G$1,0))</f>
        <v>Ara</v>
      </c>
      <c r="J393" t="str">
        <f>INDEX(products!$A$1:$G$49,MATCH(orders!$D393,products!$A$1:$A$49,0),MATCH(J$1,products!$A$1:$G$1,0))</f>
        <v>M</v>
      </c>
      <c r="K393" s="6">
        <f>INDEX(products!$A$1:$G$49,MATCH(orders!$D393,products!$A$1:$A$49,0),MATCH(K$1,products!$A$1:$G$1,0))</f>
        <v>0.5</v>
      </c>
      <c r="L393" s="7">
        <f>INDEX(products!$A$1:$G$49,MATCH(orders!$D393,products!$A$1:$A$49,0),MATCH(L$1,products!$A$1:$G$1,0))</f>
        <v>6.75</v>
      </c>
      <c r="M393" s="7">
        <f t="shared" si="18"/>
        <v>13.5</v>
      </c>
      <c r="N393" t="str">
        <f t="shared" si="19"/>
        <v>Arabica</v>
      </c>
      <c r="O393" t="str">
        <f t="shared" si="20"/>
        <v>Medium</v>
      </c>
      <c r="P393" t="str">
        <f>_xlfn.XLOOKUP(Table1[[#This Row],[Customer ID]],customers!$A$2:$A$1001,customers!$I$2:$I$1001,,0)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INDEX(products!$A$1:$G$49,MATCH(orders!$D394,products!$A$1:$A$49,0),MATCH(I$1,products!$A$1:$G$1,0))</f>
        <v>Exc</v>
      </c>
      <c r="J394" t="str">
        <f>INDEX(products!$A$1:$G$49,MATCH(orders!$D394,products!$A$1:$A$49,0),MATCH(J$1,products!$A$1:$G$1,0))</f>
        <v>L</v>
      </c>
      <c r="K394" s="6">
        <f>INDEX(products!$A$1:$G$49,MATCH(orders!$D394,products!$A$1:$A$49,0),MATCH(K$1,products!$A$1:$G$1,0))</f>
        <v>1</v>
      </c>
      <c r="L394" s="7">
        <f>INDEX(products!$A$1:$G$49,MATCH(orders!$D394,products!$A$1:$A$49,0),MATCH(L$1,products!$A$1:$G$1,0))</f>
        <v>14.85</v>
      </c>
      <c r="M394" s="7">
        <f t="shared" si="18"/>
        <v>89.1</v>
      </c>
      <c r="N394" t="str">
        <f t="shared" si="19"/>
        <v>Excelsa</v>
      </c>
      <c r="O394" t="str">
        <f t="shared" si="20"/>
        <v>Light</v>
      </c>
      <c r="P394" t="str">
        <f>_xlfn.XLOOKUP(Table1[[#This Row],[Customer ID]],customers!$A$2:$A$1001,customers!$I$2:$I$1001,,0)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INDEX(products!$A$1:$G$49,MATCH(orders!$D395,products!$A$1:$A$49,0),MATCH(I$1,products!$A$1:$G$1,0))</f>
        <v>Ara</v>
      </c>
      <c r="J395" t="str">
        <f>INDEX(products!$A$1:$G$49,MATCH(orders!$D395,products!$A$1:$A$49,0),MATCH(J$1,products!$A$1:$G$1,0))</f>
        <v>L</v>
      </c>
      <c r="K395" s="6">
        <f>INDEX(products!$A$1:$G$49,MATCH(orders!$D395,products!$A$1:$A$49,0),MATCH(K$1,products!$A$1:$G$1,0))</f>
        <v>0.2</v>
      </c>
      <c r="L395" s="7">
        <f>INDEX(products!$A$1:$G$49,MATCH(orders!$D395,products!$A$1:$A$49,0),MATCH(L$1,products!$A$1:$G$1,0))</f>
        <v>3.8849999999999998</v>
      </c>
      <c r="M395" s="7">
        <f t="shared" si="18"/>
        <v>3.8849999999999998</v>
      </c>
      <c r="N395" t="str">
        <f t="shared" si="19"/>
        <v>Arabica</v>
      </c>
      <c r="O395" t="str">
        <f t="shared" si="20"/>
        <v>Light</v>
      </c>
      <c r="P395" t="str">
        <f>_xlfn.XLOOKUP(Table1[[#This Row],[Customer ID]],customers!$A$2:$A$1001,customers!$I$2:$I$1001,,0)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INDEX(products!$A$1:$G$49,MATCH(orders!$D396,products!$A$1:$A$49,0),MATCH(I$1,products!$A$1:$G$1,0))</f>
        <v>Rob</v>
      </c>
      <c r="J396" t="str">
        <f>INDEX(products!$A$1:$G$49,MATCH(orders!$D396,products!$A$1:$A$49,0),MATCH(J$1,products!$A$1:$G$1,0))</f>
        <v>L</v>
      </c>
      <c r="K396" s="6">
        <f>INDEX(products!$A$1:$G$49,MATCH(orders!$D396,products!$A$1:$A$49,0),MATCH(K$1,products!$A$1:$G$1,0))</f>
        <v>2.5</v>
      </c>
      <c r="L396" s="7">
        <f>INDEX(products!$A$1:$G$49,MATCH(orders!$D396,products!$A$1:$A$49,0),MATCH(L$1,products!$A$1:$G$1,0))</f>
        <v>27.484999999999996</v>
      </c>
      <c r="M396" s="7">
        <f t="shared" si="18"/>
        <v>109.93999999999998</v>
      </c>
      <c r="N396" t="str">
        <f t="shared" si="19"/>
        <v>Robusta</v>
      </c>
      <c r="O396" t="str">
        <f t="shared" si="20"/>
        <v>Light</v>
      </c>
      <c r="P396" t="str">
        <f>_xlfn.XLOOKUP(Table1[[#This Row],[Customer ID]],customers!$A$2:$A$1001,customers!$I$2:$I$1001,,0)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INDEX(products!$A$1:$G$49,MATCH(orders!$D397,products!$A$1:$A$49,0),MATCH(I$1,products!$A$1:$G$1,0))</f>
        <v>Lib</v>
      </c>
      <c r="J397" t="str">
        <f>INDEX(products!$A$1:$G$49,MATCH(orders!$D397,products!$A$1:$A$49,0),MATCH(J$1,products!$A$1:$G$1,0))</f>
        <v>D</v>
      </c>
      <c r="K397" s="6">
        <f>INDEX(products!$A$1:$G$49,MATCH(orders!$D397,products!$A$1:$A$49,0),MATCH(K$1,products!$A$1:$G$1,0))</f>
        <v>0.5</v>
      </c>
      <c r="L397" s="7">
        <f>INDEX(products!$A$1:$G$49,MATCH(orders!$D397,products!$A$1:$A$49,0),MATCH(L$1,products!$A$1:$G$1,0))</f>
        <v>7.77</v>
      </c>
      <c r="M397" s="7">
        <f t="shared" si="18"/>
        <v>46.62</v>
      </c>
      <c r="N397" t="str">
        <f t="shared" si="19"/>
        <v>Liberica</v>
      </c>
      <c r="O397" t="str">
        <f t="shared" si="20"/>
        <v>Dark</v>
      </c>
      <c r="P397" t="str">
        <f>_xlfn.XLOOKUP(Table1[[#This Row],[Customer ID]],customers!$A$2:$A$1001,customers!$I$2:$I$1001,,0)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INDEX(products!$A$1:$G$49,MATCH(orders!$D398,products!$A$1:$A$49,0),MATCH(I$1,products!$A$1:$G$1,0))</f>
        <v>Ara</v>
      </c>
      <c r="J398" t="str">
        <f>INDEX(products!$A$1:$G$49,MATCH(orders!$D398,products!$A$1:$A$49,0),MATCH(J$1,products!$A$1:$G$1,0))</f>
        <v>L</v>
      </c>
      <c r="K398" s="6">
        <f>INDEX(products!$A$1:$G$49,MATCH(orders!$D398,products!$A$1:$A$49,0),MATCH(K$1,products!$A$1:$G$1,0))</f>
        <v>0.5</v>
      </c>
      <c r="L398" s="7">
        <f>INDEX(products!$A$1:$G$49,MATCH(orders!$D398,products!$A$1:$A$49,0),MATCH(L$1,products!$A$1:$G$1,0))</f>
        <v>7.77</v>
      </c>
      <c r="M398" s="7">
        <f t="shared" si="18"/>
        <v>38.849999999999994</v>
      </c>
      <c r="N398" t="str">
        <f t="shared" si="19"/>
        <v>Arabica</v>
      </c>
      <c r="O398" t="str">
        <f t="shared" si="20"/>
        <v>Light</v>
      </c>
      <c r="P398" t="str">
        <f>_xlfn.XLOOKUP(Table1[[#This Row],[Customer ID]],customers!$A$2:$A$1001,customers!$I$2:$I$1001,,0)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INDEX(products!$A$1:$G$49,MATCH(orders!$D399,products!$A$1:$A$49,0),MATCH(I$1,products!$A$1:$G$1,0))</f>
        <v>Lib</v>
      </c>
      <c r="J399" t="str">
        <f>INDEX(products!$A$1:$G$49,MATCH(orders!$D399,products!$A$1:$A$49,0),MATCH(J$1,products!$A$1:$G$1,0))</f>
        <v>D</v>
      </c>
      <c r="K399" s="6">
        <f>INDEX(products!$A$1:$G$49,MATCH(orders!$D399,products!$A$1:$A$49,0),MATCH(K$1,products!$A$1:$G$1,0))</f>
        <v>0.5</v>
      </c>
      <c r="L399" s="7">
        <f>INDEX(products!$A$1:$G$49,MATCH(orders!$D399,products!$A$1:$A$49,0),MATCH(L$1,products!$A$1:$G$1,0))</f>
        <v>7.77</v>
      </c>
      <c r="M399" s="7">
        <f t="shared" si="18"/>
        <v>31.08</v>
      </c>
      <c r="N399" t="str">
        <f t="shared" si="19"/>
        <v>Liberica</v>
      </c>
      <c r="O399" t="str">
        <f t="shared" si="20"/>
        <v>Dark</v>
      </c>
      <c r="P399" t="str">
        <f>_xlfn.XLOOKUP(Table1[[#This Row],[Customer ID]],customers!$A$2:$A$1001,customers!$I$2:$I$1001,,0)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INDEX(products!$A$1:$G$49,MATCH(orders!$D400,products!$A$1:$A$49,0),MATCH(I$1,products!$A$1:$G$1,0))</f>
        <v>Ara</v>
      </c>
      <c r="J400" t="str">
        <f>INDEX(products!$A$1:$G$49,MATCH(orders!$D400,products!$A$1:$A$49,0),MATCH(J$1,products!$A$1:$G$1,0))</f>
        <v>D</v>
      </c>
      <c r="K400" s="6">
        <f>INDEX(products!$A$1:$G$49,MATCH(orders!$D400,products!$A$1:$A$49,0),MATCH(K$1,products!$A$1:$G$1,0))</f>
        <v>0.2</v>
      </c>
      <c r="L400" s="7">
        <f>INDEX(products!$A$1:$G$49,MATCH(orders!$D400,products!$A$1:$A$49,0),MATCH(L$1,products!$A$1:$G$1,0))</f>
        <v>2.9849999999999999</v>
      </c>
      <c r="M400" s="7">
        <f t="shared" si="18"/>
        <v>17.91</v>
      </c>
      <c r="N400" t="str">
        <f t="shared" si="19"/>
        <v>Arabica</v>
      </c>
      <c r="O400" t="str">
        <f t="shared" si="20"/>
        <v>Dark</v>
      </c>
      <c r="P400" t="str">
        <f>_xlfn.XLOOKUP(Table1[[#This Row],[Customer ID]],customers!$A$2:$A$1001,customers!$I$2:$I$1001,,0)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INDEX(products!$A$1:$G$49,MATCH(orders!$D401,products!$A$1:$A$49,0),MATCH(I$1,products!$A$1:$G$1,0))</f>
        <v>Exc</v>
      </c>
      <c r="J401" t="str">
        <f>INDEX(products!$A$1:$G$49,MATCH(orders!$D401,products!$A$1:$A$49,0),MATCH(J$1,products!$A$1:$G$1,0))</f>
        <v>D</v>
      </c>
      <c r="K401" s="6">
        <f>INDEX(products!$A$1:$G$49,MATCH(orders!$D401,products!$A$1:$A$49,0),MATCH(K$1,products!$A$1:$G$1,0))</f>
        <v>2.5</v>
      </c>
      <c r="L401" s="7">
        <f>INDEX(products!$A$1:$G$49,MATCH(orders!$D401,products!$A$1:$A$49,0),MATCH(L$1,products!$A$1:$G$1,0))</f>
        <v>27.945</v>
      </c>
      <c r="M401" s="7">
        <f t="shared" si="18"/>
        <v>167.67000000000002</v>
      </c>
      <c r="N401" t="str">
        <f t="shared" si="19"/>
        <v>Excelsa</v>
      </c>
      <c r="O401" t="str">
        <f t="shared" si="20"/>
        <v>Dark</v>
      </c>
      <c r="P401" t="str">
        <f>_xlfn.XLOOKUP(Table1[[#This Row],[Customer ID]],customers!$A$2:$A$1001,customers!$I$2:$I$1001,,0)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INDEX(products!$A$1:$G$49,MATCH(orders!$D402,products!$A$1:$A$49,0),MATCH(I$1,products!$A$1:$G$1,0))</f>
        <v>Lib</v>
      </c>
      <c r="J402" t="str">
        <f>INDEX(products!$A$1:$G$49,MATCH(orders!$D402,products!$A$1:$A$49,0),MATCH(J$1,products!$A$1:$G$1,0))</f>
        <v>L</v>
      </c>
      <c r="K402" s="6">
        <f>INDEX(products!$A$1:$G$49,MATCH(orders!$D402,products!$A$1:$A$49,0),MATCH(K$1,products!$A$1:$G$1,0))</f>
        <v>1</v>
      </c>
      <c r="L402" s="7">
        <f>INDEX(products!$A$1:$G$49,MATCH(orders!$D402,products!$A$1:$A$49,0),MATCH(L$1,products!$A$1:$G$1,0))</f>
        <v>15.85</v>
      </c>
      <c r="M402" s="7">
        <f t="shared" si="18"/>
        <v>63.4</v>
      </c>
      <c r="N402" t="str">
        <f t="shared" si="19"/>
        <v>Liberica</v>
      </c>
      <c r="O402" t="str">
        <f t="shared" si="20"/>
        <v>Light</v>
      </c>
      <c r="P402" t="str">
        <f>_xlfn.XLOOKUP(Table1[[#This Row],[Customer ID]],customers!$A$2:$A$1001,customers!$I$2:$I$1001,,0)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INDEX(products!$A$1:$G$49,MATCH(orders!$D403,products!$A$1:$A$49,0),MATCH(I$1,products!$A$1:$G$1,0))</f>
        <v>Lib</v>
      </c>
      <c r="J403" t="str">
        <f>INDEX(products!$A$1:$G$49,MATCH(orders!$D403,products!$A$1:$A$49,0),MATCH(J$1,products!$A$1:$G$1,0))</f>
        <v>M</v>
      </c>
      <c r="K403" s="6">
        <f>INDEX(products!$A$1:$G$49,MATCH(orders!$D403,products!$A$1:$A$49,0),MATCH(K$1,products!$A$1:$G$1,0))</f>
        <v>0.2</v>
      </c>
      <c r="L403" s="7">
        <f>INDEX(products!$A$1:$G$49,MATCH(orders!$D403,products!$A$1:$A$49,0),MATCH(L$1,products!$A$1:$G$1,0))</f>
        <v>4.3650000000000002</v>
      </c>
      <c r="M403" s="7">
        <f t="shared" si="18"/>
        <v>8.73</v>
      </c>
      <c r="N403" t="str">
        <f t="shared" si="19"/>
        <v>Liberica</v>
      </c>
      <c r="O403" t="str">
        <f t="shared" si="20"/>
        <v>Medium</v>
      </c>
      <c r="P403" t="str">
        <f>_xlfn.XLOOKUP(Table1[[#This Row],[Customer ID]],customers!$A$2:$A$1001,customers!$I$2:$I$1001,,0)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INDEX(products!$A$1:$G$49,MATCH(orders!$D404,products!$A$1:$A$49,0),MATCH(I$1,products!$A$1:$G$1,0))</f>
        <v>Rob</v>
      </c>
      <c r="J404" t="str">
        <f>INDEX(products!$A$1:$G$49,MATCH(orders!$D404,products!$A$1:$A$49,0),MATCH(J$1,products!$A$1:$G$1,0))</f>
        <v>D</v>
      </c>
      <c r="K404" s="6">
        <f>INDEX(products!$A$1:$G$49,MATCH(orders!$D404,products!$A$1:$A$49,0),MATCH(K$1,products!$A$1:$G$1,0))</f>
        <v>1</v>
      </c>
      <c r="L404" s="7">
        <f>INDEX(products!$A$1:$G$49,MATCH(orders!$D404,products!$A$1:$A$49,0),MATCH(L$1,products!$A$1:$G$1,0))</f>
        <v>8.9499999999999993</v>
      </c>
      <c r="M404" s="7">
        <f t="shared" si="18"/>
        <v>26.849999999999998</v>
      </c>
      <c r="N404" t="str">
        <f t="shared" si="19"/>
        <v>Robusta</v>
      </c>
      <c r="O404" t="str">
        <f t="shared" si="20"/>
        <v>Dark</v>
      </c>
      <c r="P404" t="str">
        <f>_xlfn.XLOOKUP(Table1[[#This Row],[Customer ID]],customers!$A$2:$A$1001,customers!$I$2:$I$1001,,0)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INDEX(products!$A$1:$G$49,MATCH(orders!$D405,products!$A$1:$A$49,0),MATCH(I$1,products!$A$1:$G$1,0))</f>
        <v>Lib</v>
      </c>
      <c r="J405" t="str">
        <f>INDEX(products!$A$1:$G$49,MATCH(orders!$D405,products!$A$1:$A$49,0),MATCH(J$1,products!$A$1:$G$1,0))</f>
        <v>L</v>
      </c>
      <c r="K405" s="6">
        <f>INDEX(products!$A$1:$G$49,MATCH(orders!$D405,products!$A$1:$A$49,0),MATCH(K$1,products!$A$1:$G$1,0))</f>
        <v>0.2</v>
      </c>
      <c r="L405" s="7">
        <f>INDEX(products!$A$1:$G$49,MATCH(orders!$D405,products!$A$1:$A$49,0),MATCH(L$1,products!$A$1:$G$1,0))</f>
        <v>4.7549999999999999</v>
      </c>
      <c r="M405" s="7">
        <f t="shared" si="18"/>
        <v>9.51</v>
      </c>
      <c r="N405" t="str">
        <f t="shared" si="19"/>
        <v>Liberica</v>
      </c>
      <c r="O405" t="str">
        <f t="shared" si="20"/>
        <v>Light</v>
      </c>
      <c r="P405" t="str">
        <f>_xlfn.XLOOKUP(Table1[[#This Row],[Customer ID]],customers!$A$2:$A$1001,customers!$I$2:$I$1001,,0)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INDEX(products!$A$1:$G$49,MATCH(orders!$D406,products!$A$1:$A$49,0),MATCH(I$1,products!$A$1:$G$1,0))</f>
        <v>Ara</v>
      </c>
      <c r="J406" t="str">
        <f>INDEX(products!$A$1:$G$49,MATCH(orders!$D406,products!$A$1:$A$49,0),MATCH(J$1,products!$A$1:$G$1,0))</f>
        <v>D</v>
      </c>
      <c r="K406" s="6">
        <f>INDEX(products!$A$1:$G$49,MATCH(orders!$D406,products!$A$1:$A$49,0),MATCH(K$1,products!$A$1:$G$1,0))</f>
        <v>1</v>
      </c>
      <c r="L406" s="7">
        <f>INDEX(products!$A$1:$G$49,MATCH(orders!$D406,products!$A$1:$A$49,0),MATCH(L$1,products!$A$1:$G$1,0))</f>
        <v>9.9499999999999993</v>
      </c>
      <c r="M406" s="7">
        <f t="shared" si="18"/>
        <v>39.799999999999997</v>
      </c>
      <c r="N406" t="str">
        <f t="shared" si="19"/>
        <v>Arabica</v>
      </c>
      <c r="O406" t="str">
        <f t="shared" si="20"/>
        <v>Dark</v>
      </c>
      <c r="P406" t="str">
        <f>_xlfn.XLOOKUP(Table1[[#This Row],[Customer ID]],customers!$A$2:$A$1001,customers!$I$2:$I$1001,,0)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INDEX(products!$A$1:$G$49,MATCH(orders!$D407,products!$A$1:$A$49,0),MATCH(I$1,products!$A$1:$G$1,0))</f>
        <v>Exc</v>
      </c>
      <c r="J407" t="str">
        <f>INDEX(products!$A$1:$G$49,MATCH(orders!$D407,products!$A$1:$A$49,0),MATCH(J$1,products!$A$1:$G$1,0))</f>
        <v>M</v>
      </c>
      <c r="K407" s="6">
        <f>INDEX(products!$A$1:$G$49,MATCH(orders!$D407,products!$A$1:$A$49,0),MATCH(K$1,products!$A$1:$G$1,0))</f>
        <v>0.5</v>
      </c>
      <c r="L407" s="7">
        <f>INDEX(products!$A$1:$G$49,MATCH(orders!$D407,products!$A$1:$A$49,0),MATCH(L$1,products!$A$1:$G$1,0))</f>
        <v>8.25</v>
      </c>
      <c r="M407" s="7">
        <f t="shared" si="18"/>
        <v>24.75</v>
      </c>
      <c r="N407" t="str">
        <f t="shared" si="19"/>
        <v>Excelsa</v>
      </c>
      <c r="O407" t="str">
        <f t="shared" si="20"/>
        <v>Medium</v>
      </c>
      <c r="P407" t="str">
        <f>_xlfn.XLOOKUP(Table1[[#This Row],[Customer ID]],customers!$A$2:$A$1001,customers!$I$2:$I$1001,,0)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INDEX(products!$A$1:$G$49,MATCH(orders!$D408,products!$A$1:$A$49,0),MATCH(I$1,products!$A$1:$G$1,0))</f>
        <v>Exc</v>
      </c>
      <c r="J408" t="str">
        <f>INDEX(products!$A$1:$G$49,MATCH(orders!$D408,products!$A$1:$A$49,0),MATCH(J$1,products!$A$1:$G$1,0))</f>
        <v>M</v>
      </c>
      <c r="K408" s="6">
        <f>INDEX(products!$A$1:$G$49,MATCH(orders!$D408,products!$A$1:$A$49,0),MATCH(K$1,products!$A$1:$G$1,0))</f>
        <v>1</v>
      </c>
      <c r="L408" s="7">
        <f>INDEX(products!$A$1:$G$49,MATCH(orders!$D408,products!$A$1:$A$49,0),MATCH(L$1,products!$A$1:$G$1,0))</f>
        <v>13.75</v>
      </c>
      <c r="M408" s="7">
        <f t="shared" si="18"/>
        <v>68.75</v>
      </c>
      <c r="N408" t="str">
        <f t="shared" si="19"/>
        <v>Excelsa</v>
      </c>
      <c r="O408" t="str">
        <f t="shared" si="20"/>
        <v>Medium</v>
      </c>
      <c r="P408" t="str">
        <f>_xlfn.XLOOKUP(Table1[[#This Row],[Customer ID]],customers!$A$2:$A$1001,customers!$I$2:$I$1001,,0)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INDEX(products!$A$1:$G$49,MATCH(orders!$D409,products!$A$1:$A$49,0),MATCH(I$1,products!$A$1:$G$1,0))</f>
        <v>Exc</v>
      </c>
      <c r="J409" t="str">
        <f>INDEX(products!$A$1:$G$49,MATCH(orders!$D409,products!$A$1:$A$49,0),MATCH(J$1,products!$A$1:$G$1,0))</f>
        <v>M</v>
      </c>
      <c r="K409" s="6">
        <f>INDEX(products!$A$1:$G$49,MATCH(orders!$D409,products!$A$1:$A$49,0),MATCH(K$1,products!$A$1:$G$1,0))</f>
        <v>0.5</v>
      </c>
      <c r="L409" s="7">
        <f>INDEX(products!$A$1:$G$49,MATCH(orders!$D409,products!$A$1:$A$49,0),MATCH(L$1,products!$A$1:$G$1,0))</f>
        <v>8.25</v>
      </c>
      <c r="M409" s="7">
        <f t="shared" si="18"/>
        <v>49.5</v>
      </c>
      <c r="N409" t="str">
        <f t="shared" si="19"/>
        <v>Excelsa</v>
      </c>
      <c r="O409" t="str">
        <f t="shared" si="20"/>
        <v>Medium</v>
      </c>
      <c r="P409" t="str">
        <f>_xlfn.XLOOKUP(Table1[[#This Row],[Customer ID]],customers!$A$2:$A$1001,customers!$I$2:$I$1001,,0)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INDEX(products!$A$1:$G$49,MATCH(orders!$D410,products!$A$1:$A$49,0),MATCH(I$1,products!$A$1:$G$1,0))</f>
        <v>Ara</v>
      </c>
      <c r="J410" t="str">
        <f>INDEX(products!$A$1:$G$49,MATCH(orders!$D410,products!$A$1:$A$49,0),MATCH(J$1,products!$A$1:$G$1,0))</f>
        <v>M</v>
      </c>
      <c r="K410" s="6">
        <f>INDEX(products!$A$1:$G$49,MATCH(orders!$D410,products!$A$1:$A$49,0),MATCH(K$1,products!$A$1:$G$1,0))</f>
        <v>2.5</v>
      </c>
      <c r="L410" s="7">
        <f>INDEX(products!$A$1:$G$49,MATCH(orders!$D410,products!$A$1:$A$49,0),MATCH(L$1,products!$A$1:$G$1,0))</f>
        <v>25.874999999999996</v>
      </c>
      <c r="M410" s="7">
        <f t="shared" si="18"/>
        <v>51.749999999999993</v>
      </c>
      <c r="N410" t="str">
        <f t="shared" si="19"/>
        <v>Arabica</v>
      </c>
      <c r="O410" t="str">
        <f t="shared" si="20"/>
        <v>Medium</v>
      </c>
      <c r="P410" t="str">
        <f>_xlfn.XLOOKUP(Table1[[#This Row],[Customer ID]],customers!$A$2:$A$1001,customers!$I$2:$I$1001,,0)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INDEX(products!$A$1:$G$49,MATCH(orders!$D411,products!$A$1:$A$49,0),MATCH(I$1,products!$A$1:$G$1,0))</f>
        <v>Lib</v>
      </c>
      <c r="J411" t="str">
        <f>INDEX(products!$A$1:$G$49,MATCH(orders!$D411,products!$A$1:$A$49,0),MATCH(J$1,products!$A$1:$G$1,0))</f>
        <v>L</v>
      </c>
      <c r="K411" s="6">
        <f>INDEX(products!$A$1:$G$49,MATCH(orders!$D411,products!$A$1:$A$49,0),MATCH(K$1,products!$A$1:$G$1,0))</f>
        <v>1</v>
      </c>
      <c r="L411" s="7">
        <f>INDEX(products!$A$1:$G$49,MATCH(orders!$D411,products!$A$1:$A$49,0),MATCH(L$1,products!$A$1:$G$1,0))</f>
        <v>15.85</v>
      </c>
      <c r="M411" s="7">
        <f t="shared" si="18"/>
        <v>47.55</v>
      </c>
      <c r="N411" t="str">
        <f t="shared" si="19"/>
        <v>Liberica</v>
      </c>
      <c r="O411" t="str">
        <f t="shared" si="20"/>
        <v>Light</v>
      </c>
      <c r="P411" t="str">
        <f>_xlfn.XLOOKUP(Table1[[#This Row],[Customer ID]],customers!$A$2:$A$1001,customers!$I$2:$I$1001,,0)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INDEX(products!$A$1:$G$49,MATCH(orders!$D412,products!$A$1:$A$49,0),MATCH(I$1,products!$A$1:$G$1,0))</f>
        <v>Ara</v>
      </c>
      <c r="J412" t="str">
        <f>INDEX(products!$A$1:$G$49,MATCH(orders!$D412,products!$A$1:$A$49,0),MATCH(J$1,products!$A$1:$G$1,0))</f>
        <v>L</v>
      </c>
      <c r="K412" s="6">
        <f>INDEX(products!$A$1:$G$49,MATCH(orders!$D412,products!$A$1:$A$49,0),MATCH(K$1,products!$A$1:$G$1,0))</f>
        <v>0.2</v>
      </c>
      <c r="L412" s="7">
        <f>INDEX(products!$A$1:$G$49,MATCH(orders!$D412,products!$A$1:$A$49,0),MATCH(L$1,products!$A$1:$G$1,0))</f>
        <v>3.8849999999999998</v>
      </c>
      <c r="M412" s="7">
        <f t="shared" si="18"/>
        <v>15.54</v>
      </c>
      <c r="N412" t="str">
        <f t="shared" si="19"/>
        <v>Arabica</v>
      </c>
      <c r="O412" t="str">
        <f t="shared" si="20"/>
        <v>Light</v>
      </c>
      <c r="P412" t="str">
        <f>_xlfn.XLOOKUP(Table1[[#This Row],[Customer ID]],customers!$A$2:$A$1001,customers!$I$2:$I$1001,,0)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INDEX(products!$A$1:$G$49,MATCH(orders!$D413,products!$A$1:$A$49,0),MATCH(I$1,products!$A$1:$G$1,0))</f>
        <v>Lib</v>
      </c>
      <c r="J413" t="str">
        <f>INDEX(products!$A$1:$G$49,MATCH(orders!$D413,products!$A$1:$A$49,0),MATCH(J$1,products!$A$1:$G$1,0))</f>
        <v>M</v>
      </c>
      <c r="K413" s="6">
        <f>INDEX(products!$A$1:$G$49,MATCH(orders!$D413,products!$A$1:$A$49,0),MATCH(K$1,products!$A$1:$G$1,0))</f>
        <v>1</v>
      </c>
      <c r="L413" s="7">
        <f>INDEX(products!$A$1:$G$49,MATCH(orders!$D413,products!$A$1:$A$49,0),MATCH(L$1,products!$A$1:$G$1,0))</f>
        <v>14.55</v>
      </c>
      <c r="M413" s="7">
        <f t="shared" si="18"/>
        <v>87.300000000000011</v>
      </c>
      <c r="N413" t="str">
        <f t="shared" si="19"/>
        <v>Liberica</v>
      </c>
      <c r="O413" t="str">
        <f t="shared" si="20"/>
        <v>Medium</v>
      </c>
      <c r="P413" t="str">
        <f>_xlfn.XLOOKUP(Table1[[#This Row],[Customer ID]],customers!$A$2:$A$1001,customers!$I$2:$I$1001,,0)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INDEX(products!$A$1:$G$49,MATCH(orders!$D414,products!$A$1:$A$49,0),MATCH(I$1,products!$A$1:$G$1,0))</f>
        <v>Ara</v>
      </c>
      <c r="J414" t="str">
        <f>INDEX(products!$A$1:$G$49,MATCH(orders!$D414,products!$A$1:$A$49,0),MATCH(J$1,products!$A$1:$G$1,0))</f>
        <v>M</v>
      </c>
      <c r="K414" s="6">
        <f>INDEX(products!$A$1:$G$49,MATCH(orders!$D414,products!$A$1:$A$49,0),MATCH(K$1,products!$A$1:$G$1,0))</f>
        <v>1</v>
      </c>
      <c r="L414" s="7">
        <f>INDEX(products!$A$1:$G$49,MATCH(orders!$D414,products!$A$1:$A$49,0),MATCH(L$1,products!$A$1:$G$1,0))</f>
        <v>11.25</v>
      </c>
      <c r="M414" s="7">
        <f t="shared" si="18"/>
        <v>56.25</v>
      </c>
      <c r="N414" t="str">
        <f t="shared" si="19"/>
        <v>Arabica</v>
      </c>
      <c r="O414" t="str">
        <f t="shared" si="20"/>
        <v>Medium</v>
      </c>
      <c r="P414" t="str">
        <f>_xlfn.XLOOKUP(Table1[[#This Row],[Customer ID]],customers!$A$2:$A$1001,customers!$I$2:$I$1001,,0)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INDEX(products!$A$1:$G$49,MATCH(orders!$D415,products!$A$1:$A$49,0),MATCH(I$1,products!$A$1:$G$1,0))</f>
        <v>Lib</v>
      </c>
      <c r="J415" t="str">
        <f>INDEX(products!$A$1:$G$49,MATCH(orders!$D415,products!$A$1:$A$49,0),MATCH(J$1,products!$A$1:$G$1,0))</f>
        <v>L</v>
      </c>
      <c r="K415" s="6">
        <f>INDEX(products!$A$1:$G$49,MATCH(orders!$D415,products!$A$1:$A$49,0),MATCH(K$1,products!$A$1:$G$1,0))</f>
        <v>2.5</v>
      </c>
      <c r="L415" s="7">
        <f>INDEX(products!$A$1:$G$49,MATCH(orders!$D415,products!$A$1:$A$49,0),MATCH(L$1,products!$A$1:$G$1,0))</f>
        <v>36.454999999999998</v>
      </c>
      <c r="M415" s="7">
        <f t="shared" si="18"/>
        <v>36.454999999999998</v>
      </c>
      <c r="N415" t="str">
        <f t="shared" si="19"/>
        <v>Liberica</v>
      </c>
      <c r="O415" t="str">
        <f t="shared" si="20"/>
        <v>Light</v>
      </c>
      <c r="P415" t="str">
        <f>_xlfn.XLOOKUP(Table1[[#This Row],[Customer ID]],customers!$A$2:$A$1001,customers!$I$2:$I$1001,,0)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INDEX(products!$A$1:$G$49,MATCH(orders!$D416,products!$A$1:$A$49,0),MATCH(I$1,products!$A$1:$G$1,0))</f>
        <v>Rob</v>
      </c>
      <c r="J416" t="str">
        <f>INDEX(products!$A$1:$G$49,MATCH(orders!$D416,products!$A$1:$A$49,0),MATCH(J$1,products!$A$1:$G$1,0))</f>
        <v>L</v>
      </c>
      <c r="K416" s="6">
        <f>INDEX(products!$A$1:$G$49,MATCH(orders!$D416,products!$A$1:$A$49,0),MATCH(K$1,products!$A$1:$G$1,0))</f>
        <v>0.2</v>
      </c>
      <c r="L416" s="7">
        <f>INDEX(products!$A$1:$G$49,MATCH(orders!$D416,products!$A$1:$A$49,0),MATCH(L$1,products!$A$1:$G$1,0))</f>
        <v>3.5849999999999995</v>
      </c>
      <c r="M416" s="7">
        <f t="shared" si="18"/>
        <v>10.754999999999999</v>
      </c>
      <c r="N416" t="str">
        <f t="shared" si="19"/>
        <v>Robusta</v>
      </c>
      <c r="O416" t="str">
        <f t="shared" si="20"/>
        <v>Light</v>
      </c>
      <c r="P416" t="str">
        <f>_xlfn.XLOOKUP(Table1[[#This Row],[Customer ID]],customers!$A$2:$A$1001,customers!$I$2:$I$1001,,0)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INDEX(products!$A$1:$G$49,MATCH(orders!$D417,products!$A$1:$A$49,0),MATCH(I$1,products!$A$1:$G$1,0))</f>
        <v>Rob</v>
      </c>
      <c r="J417" t="str">
        <f>INDEX(products!$A$1:$G$49,MATCH(orders!$D417,products!$A$1:$A$49,0),MATCH(J$1,products!$A$1:$G$1,0))</f>
        <v>M</v>
      </c>
      <c r="K417" s="6">
        <f>INDEX(products!$A$1:$G$49,MATCH(orders!$D417,products!$A$1:$A$49,0),MATCH(K$1,products!$A$1:$G$1,0))</f>
        <v>0.2</v>
      </c>
      <c r="L417" s="7">
        <f>INDEX(products!$A$1:$G$49,MATCH(orders!$D417,products!$A$1:$A$49,0),MATCH(L$1,products!$A$1:$G$1,0))</f>
        <v>2.9849999999999999</v>
      </c>
      <c r="M417" s="7">
        <f t="shared" si="18"/>
        <v>8.9550000000000001</v>
      </c>
      <c r="N417" t="str">
        <f t="shared" si="19"/>
        <v>Robusta</v>
      </c>
      <c r="O417" t="str">
        <f t="shared" si="20"/>
        <v>Medium</v>
      </c>
      <c r="P417" t="str">
        <f>_xlfn.XLOOKUP(Table1[[#This Row],[Customer ID]],customers!$A$2:$A$1001,customers!$I$2:$I$1001,,0)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INDEX(products!$A$1:$G$49,MATCH(orders!$D418,products!$A$1:$A$49,0),MATCH(I$1,products!$A$1:$G$1,0))</f>
        <v>Ara</v>
      </c>
      <c r="J418" t="str">
        <f>INDEX(products!$A$1:$G$49,MATCH(orders!$D418,products!$A$1:$A$49,0),MATCH(J$1,products!$A$1:$G$1,0))</f>
        <v>L</v>
      </c>
      <c r="K418" s="6">
        <f>INDEX(products!$A$1:$G$49,MATCH(orders!$D418,products!$A$1:$A$49,0),MATCH(K$1,products!$A$1:$G$1,0))</f>
        <v>0.5</v>
      </c>
      <c r="L418" s="7">
        <f>INDEX(products!$A$1:$G$49,MATCH(orders!$D418,products!$A$1:$A$49,0),MATCH(L$1,products!$A$1:$G$1,0))</f>
        <v>7.77</v>
      </c>
      <c r="M418" s="7">
        <f t="shared" si="18"/>
        <v>23.31</v>
      </c>
      <c r="N418" t="str">
        <f t="shared" si="19"/>
        <v>Arabica</v>
      </c>
      <c r="O418" t="str">
        <f t="shared" si="20"/>
        <v>Light</v>
      </c>
      <c r="P418" t="str">
        <f>_xlfn.XLOOKUP(Table1[[#This Row],[Customer ID]],customers!$A$2:$A$1001,customers!$I$2:$I$1001,,0)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INDEX(products!$A$1:$G$49,MATCH(orders!$D419,products!$A$1:$A$49,0),MATCH(I$1,products!$A$1:$G$1,0))</f>
        <v>Ara</v>
      </c>
      <c r="J419" t="str">
        <f>INDEX(products!$A$1:$G$49,MATCH(orders!$D419,products!$A$1:$A$49,0),MATCH(J$1,products!$A$1:$G$1,0))</f>
        <v>L</v>
      </c>
      <c r="K419" s="6">
        <f>INDEX(products!$A$1:$G$49,MATCH(orders!$D419,products!$A$1:$A$49,0),MATCH(K$1,products!$A$1:$G$1,0))</f>
        <v>2.5</v>
      </c>
      <c r="L419" s="7">
        <f>INDEX(products!$A$1:$G$49,MATCH(orders!$D419,products!$A$1:$A$49,0),MATCH(L$1,products!$A$1:$G$1,0))</f>
        <v>29.784999999999997</v>
      </c>
      <c r="M419" s="7">
        <f t="shared" si="18"/>
        <v>29.784999999999997</v>
      </c>
      <c r="N419" t="str">
        <f t="shared" si="19"/>
        <v>Arabica</v>
      </c>
      <c r="O419" t="str">
        <f t="shared" si="20"/>
        <v>Light</v>
      </c>
      <c r="P419" t="str">
        <f>_xlfn.XLOOKUP(Table1[[#This Row],[Customer ID]],customers!$A$2:$A$1001,customers!$I$2:$I$1001,,0)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INDEX(products!$A$1:$G$49,MATCH(orders!$D420,products!$A$1:$A$49,0),MATCH(I$1,products!$A$1:$G$1,0))</f>
        <v>Ara</v>
      </c>
      <c r="J420" t="str">
        <f>INDEX(products!$A$1:$G$49,MATCH(orders!$D420,products!$A$1:$A$49,0),MATCH(J$1,products!$A$1:$G$1,0))</f>
        <v>L</v>
      </c>
      <c r="K420" s="6">
        <f>INDEX(products!$A$1:$G$49,MATCH(orders!$D420,products!$A$1:$A$49,0),MATCH(K$1,products!$A$1:$G$1,0))</f>
        <v>2.5</v>
      </c>
      <c r="L420" s="7">
        <f>INDEX(products!$A$1:$G$49,MATCH(orders!$D420,products!$A$1:$A$49,0),MATCH(L$1,products!$A$1:$G$1,0))</f>
        <v>29.784999999999997</v>
      </c>
      <c r="M420" s="7">
        <f t="shared" si="18"/>
        <v>148.92499999999998</v>
      </c>
      <c r="N420" t="str">
        <f t="shared" si="19"/>
        <v>Arabica</v>
      </c>
      <c r="O420" t="str">
        <f t="shared" si="20"/>
        <v>Light</v>
      </c>
      <c r="P420" t="str">
        <f>_xlfn.XLOOKUP(Table1[[#This Row],[Customer ID]],customers!$A$2:$A$1001,customers!$I$2:$I$1001,,0)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INDEX(products!$A$1:$G$49,MATCH(orders!$D421,products!$A$1:$A$49,0),MATCH(I$1,products!$A$1:$G$1,0))</f>
        <v>Lib</v>
      </c>
      <c r="J421" t="str">
        <f>INDEX(products!$A$1:$G$49,MATCH(orders!$D421,products!$A$1:$A$49,0),MATCH(J$1,products!$A$1:$G$1,0))</f>
        <v>M</v>
      </c>
      <c r="K421" s="6">
        <f>INDEX(products!$A$1:$G$49,MATCH(orders!$D421,products!$A$1:$A$49,0),MATCH(K$1,products!$A$1:$G$1,0))</f>
        <v>0.5</v>
      </c>
      <c r="L421" s="7">
        <f>INDEX(products!$A$1:$G$49,MATCH(orders!$D421,products!$A$1:$A$49,0),MATCH(L$1,products!$A$1:$G$1,0))</f>
        <v>8.73</v>
      </c>
      <c r="M421" s="7">
        <f t="shared" si="18"/>
        <v>8.73</v>
      </c>
      <c r="N421" t="str">
        <f t="shared" si="19"/>
        <v>Liberica</v>
      </c>
      <c r="O421" t="str">
        <f t="shared" si="20"/>
        <v>Medium</v>
      </c>
      <c r="P421" t="str">
        <f>_xlfn.XLOOKUP(Table1[[#This Row],[Customer ID]],customers!$A$2:$A$1001,customers!$I$2:$I$1001,,0)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INDEX(products!$A$1:$G$49,MATCH(orders!$D422,products!$A$1:$A$49,0),MATCH(I$1,products!$A$1:$G$1,0))</f>
        <v>Lib</v>
      </c>
      <c r="J422" t="str">
        <f>INDEX(products!$A$1:$G$49,MATCH(orders!$D422,products!$A$1:$A$49,0),MATCH(J$1,products!$A$1:$G$1,0))</f>
        <v>D</v>
      </c>
      <c r="K422" s="6">
        <f>INDEX(products!$A$1:$G$49,MATCH(orders!$D422,products!$A$1:$A$49,0),MATCH(K$1,products!$A$1:$G$1,0))</f>
        <v>0.5</v>
      </c>
      <c r="L422" s="7">
        <f>INDEX(products!$A$1:$G$49,MATCH(orders!$D422,products!$A$1:$A$49,0),MATCH(L$1,products!$A$1:$G$1,0))</f>
        <v>7.77</v>
      </c>
      <c r="M422" s="7">
        <f t="shared" si="18"/>
        <v>31.08</v>
      </c>
      <c r="N422" t="str">
        <f t="shared" si="19"/>
        <v>Liberica</v>
      </c>
      <c r="O422" t="str">
        <f t="shared" si="20"/>
        <v>Dark</v>
      </c>
      <c r="P422" t="str">
        <f>_xlfn.XLOOKUP(Table1[[#This Row],[Customer ID]],customers!$A$2:$A$1001,customers!$I$2:$I$1001,,0)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INDEX(products!$A$1:$G$49,MATCH(orders!$D423,products!$A$1:$A$49,0),MATCH(I$1,products!$A$1:$G$1,0))</f>
        <v>Ara</v>
      </c>
      <c r="J423" t="str">
        <f>INDEX(products!$A$1:$G$49,MATCH(orders!$D423,products!$A$1:$A$49,0),MATCH(J$1,products!$A$1:$G$1,0))</f>
        <v>D</v>
      </c>
      <c r="K423" s="6">
        <f>INDEX(products!$A$1:$G$49,MATCH(orders!$D423,products!$A$1:$A$49,0),MATCH(K$1,products!$A$1:$G$1,0))</f>
        <v>2.5</v>
      </c>
      <c r="L423" s="7">
        <f>INDEX(products!$A$1:$G$49,MATCH(orders!$D423,products!$A$1:$A$49,0),MATCH(L$1,products!$A$1:$G$1,0))</f>
        <v>22.884999999999998</v>
      </c>
      <c r="M423" s="7">
        <f t="shared" si="18"/>
        <v>137.31</v>
      </c>
      <c r="N423" t="str">
        <f t="shared" si="19"/>
        <v>Arabica</v>
      </c>
      <c r="O423" t="str">
        <f t="shared" si="20"/>
        <v>Dark</v>
      </c>
      <c r="P423" t="str">
        <f>_xlfn.XLOOKUP(Table1[[#This Row],[Customer ID]],customers!$A$2:$A$1001,customers!$I$2:$I$1001,,0)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INDEX(products!$A$1:$G$49,MATCH(orders!$D424,products!$A$1:$A$49,0),MATCH(I$1,products!$A$1:$G$1,0))</f>
        <v>Ara</v>
      </c>
      <c r="J424" t="str">
        <f>INDEX(products!$A$1:$G$49,MATCH(orders!$D424,products!$A$1:$A$49,0),MATCH(J$1,products!$A$1:$G$1,0))</f>
        <v>D</v>
      </c>
      <c r="K424" s="6">
        <f>INDEX(products!$A$1:$G$49,MATCH(orders!$D424,products!$A$1:$A$49,0),MATCH(K$1,products!$A$1:$G$1,0))</f>
        <v>0.5</v>
      </c>
      <c r="L424" s="7">
        <f>INDEX(products!$A$1:$G$49,MATCH(orders!$D424,products!$A$1:$A$49,0),MATCH(L$1,products!$A$1:$G$1,0))</f>
        <v>5.97</v>
      </c>
      <c r="M424" s="7">
        <f t="shared" si="18"/>
        <v>29.849999999999998</v>
      </c>
      <c r="N424" t="str">
        <f t="shared" si="19"/>
        <v>Arabica</v>
      </c>
      <c r="O424" t="str">
        <f t="shared" si="20"/>
        <v>Dark</v>
      </c>
      <c r="P424" t="str">
        <f>_xlfn.XLOOKUP(Table1[[#This Row],[Customer ID]],customers!$A$2:$A$1001,customers!$I$2:$I$1001,,0)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INDEX(products!$A$1:$G$49,MATCH(orders!$D425,products!$A$1:$A$49,0),MATCH(I$1,products!$A$1:$G$1,0))</f>
        <v>Rob</v>
      </c>
      <c r="J425" t="str">
        <f>INDEX(products!$A$1:$G$49,MATCH(orders!$D425,products!$A$1:$A$49,0),MATCH(J$1,products!$A$1:$G$1,0))</f>
        <v>M</v>
      </c>
      <c r="K425" s="6">
        <f>INDEX(products!$A$1:$G$49,MATCH(orders!$D425,products!$A$1:$A$49,0),MATCH(K$1,products!$A$1:$G$1,0))</f>
        <v>0.5</v>
      </c>
      <c r="L425" s="7">
        <f>INDEX(products!$A$1:$G$49,MATCH(orders!$D425,products!$A$1:$A$49,0),MATCH(L$1,products!$A$1:$G$1,0))</f>
        <v>5.97</v>
      </c>
      <c r="M425" s="7">
        <f t="shared" si="18"/>
        <v>17.91</v>
      </c>
      <c r="N425" t="str">
        <f t="shared" si="19"/>
        <v>Robusta</v>
      </c>
      <c r="O425" t="str">
        <f t="shared" si="20"/>
        <v>Medium</v>
      </c>
      <c r="P425" t="str">
        <f>_xlfn.XLOOKUP(Table1[[#This Row],[Customer ID]],customers!$A$2:$A$1001,customers!$I$2:$I$1001,,0)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INDEX(products!$A$1:$G$49,MATCH(orders!$D426,products!$A$1:$A$49,0),MATCH(I$1,products!$A$1:$G$1,0))</f>
        <v>Exc</v>
      </c>
      <c r="J426" t="str">
        <f>INDEX(products!$A$1:$G$49,MATCH(orders!$D426,products!$A$1:$A$49,0),MATCH(J$1,products!$A$1:$G$1,0))</f>
        <v>L</v>
      </c>
      <c r="K426" s="6">
        <f>INDEX(products!$A$1:$G$49,MATCH(orders!$D426,products!$A$1:$A$49,0),MATCH(K$1,products!$A$1:$G$1,0))</f>
        <v>0.5</v>
      </c>
      <c r="L426" s="7">
        <f>INDEX(products!$A$1:$G$49,MATCH(orders!$D426,products!$A$1:$A$49,0),MATCH(L$1,products!$A$1:$G$1,0))</f>
        <v>8.91</v>
      </c>
      <c r="M426" s="7">
        <f t="shared" si="18"/>
        <v>26.73</v>
      </c>
      <c r="N426" t="str">
        <f t="shared" si="19"/>
        <v>Excelsa</v>
      </c>
      <c r="O426" t="str">
        <f t="shared" si="20"/>
        <v>Light</v>
      </c>
      <c r="P426" t="str">
        <f>_xlfn.XLOOKUP(Table1[[#This Row],[Customer ID]],customers!$A$2:$A$1001,customers!$I$2:$I$1001,,0)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INDEX(products!$A$1:$G$49,MATCH(orders!$D427,products!$A$1:$A$49,0),MATCH(I$1,products!$A$1:$G$1,0))</f>
        <v>Rob</v>
      </c>
      <c r="J427" t="str">
        <f>INDEX(products!$A$1:$G$49,MATCH(orders!$D427,products!$A$1:$A$49,0),MATCH(J$1,products!$A$1:$G$1,0))</f>
        <v>D</v>
      </c>
      <c r="K427" s="6">
        <f>INDEX(products!$A$1:$G$49,MATCH(orders!$D427,products!$A$1:$A$49,0),MATCH(K$1,products!$A$1:$G$1,0))</f>
        <v>1</v>
      </c>
      <c r="L427" s="7">
        <f>INDEX(products!$A$1:$G$49,MATCH(orders!$D427,products!$A$1:$A$49,0),MATCH(L$1,products!$A$1:$G$1,0))</f>
        <v>8.9499999999999993</v>
      </c>
      <c r="M427" s="7">
        <f t="shared" si="18"/>
        <v>17.899999999999999</v>
      </c>
      <c r="N427" t="str">
        <f t="shared" si="19"/>
        <v>Robusta</v>
      </c>
      <c r="O427" t="str">
        <f t="shared" si="20"/>
        <v>Dark</v>
      </c>
      <c r="P427" t="str">
        <f>_xlfn.XLOOKUP(Table1[[#This Row],[Customer ID]],customers!$A$2:$A$1001,customers!$I$2:$I$1001,,0)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INDEX(products!$A$1:$G$49,MATCH(orders!$D428,products!$A$1:$A$49,0),MATCH(I$1,products!$A$1:$G$1,0))</f>
        <v>Rob</v>
      </c>
      <c r="J428" t="str">
        <f>INDEX(products!$A$1:$G$49,MATCH(orders!$D428,products!$A$1:$A$49,0),MATCH(J$1,products!$A$1:$G$1,0))</f>
        <v>L</v>
      </c>
      <c r="K428" s="6">
        <f>INDEX(products!$A$1:$G$49,MATCH(orders!$D428,products!$A$1:$A$49,0),MATCH(K$1,products!$A$1:$G$1,0))</f>
        <v>0.2</v>
      </c>
      <c r="L428" s="7">
        <f>INDEX(products!$A$1:$G$49,MATCH(orders!$D428,products!$A$1:$A$49,0),MATCH(L$1,products!$A$1:$G$1,0))</f>
        <v>3.5849999999999995</v>
      </c>
      <c r="M428" s="7">
        <f t="shared" si="18"/>
        <v>14.339999999999998</v>
      </c>
      <c r="N428" t="str">
        <f t="shared" si="19"/>
        <v>Robusta</v>
      </c>
      <c r="O428" t="str">
        <f t="shared" si="20"/>
        <v>Light</v>
      </c>
      <c r="P428" t="str">
        <f>_xlfn.XLOOKUP(Table1[[#This Row],[Customer ID]],customers!$A$2:$A$1001,customers!$I$2:$I$1001,,0)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INDEX(products!$A$1:$G$49,MATCH(orders!$D429,products!$A$1:$A$49,0),MATCH(I$1,products!$A$1:$G$1,0))</f>
        <v>Ara</v>
      </c>
      <c r="J429" t="str">
        <f>INDEX(products!$A$1:$G$49,MATCH(orders!$D429,products!$A$1:$A$49,0),MATCH(J$1,products!$A$1:$G$1,0))</f>
        <v>M</v>
      </c>
      <c r="K429" s="6">
        <f>INDEX(products!$A$1:$G$49,MATCH(orders!$D429,products!$A$1:$A$49,0),MATCH(K$1,products!$A$1:$G$1,0))</f>
        <v>2.5</v>
      </c>
      <c r="L429" s="7">
        <f>INDEX(products!$A$1:$G$49,MATCH(orders!$D429,products!$A$1:$A$49,0),MATCH(L$1,products!$A$1:$G$1,0))</f>
        <v>25.874999999999996</v>
      </c>
      <c r="M429" s="7">
        <f t="shared" si="18"/>
        <v>77.624999999999986</v>
      </c>
      <c r="N429" t="str">
        <f t="shared" si="19"/>
        <v>Arabica</v>
      </c>
      <c r="O429" t="str">
        <f t="shared" si="20"/>
        <v>Medium</v>
      </c>
      <c r="P429" t="str">
        <f>_xlfn.XLOOKUP(Table1[[#This Row],[Customer ID]],customers!$A$2:$A$1001,customers!$I$2:$I$1001,,0)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INDEX(products!$A$1:$G$49,MATCH(orders!$D430,products!$A$1:$A$49,0),MATCH(I$1,products!$A$1:$G$1,0))</f>
        <v>Rob</v>
      </c>
      <c r="J430" t="str">
        <f>INDEX(products!$A$1:$G$49,MATCH(orders!$D430,products!$A$1:$A$49,0),MATCH(J$1,products!$A$1:$G$1,0))</f>
        <v>L</v>
      </c>
      <c r="K430" s="6">
        <f>INDEX(products!$A$1:$G$49,MATCH(orders!$D430,products!$A$1:$A$49,0),MATCH(K$1,products!$A$1:$G$1,0))</f>
        <v>1</v>
      </c>
      <c r="L430" s="7">
        <f>INDEX(products!$A$1:$G$49,MATCH(orders!$D430,products!$A$1:$A$49,0),MATCH(L$1,products!$A$1:$G$1,0))</f>
        <v>11.95</v>
      </c>
      <c r="M430" s="7">
        <f t="shared" si="18"/>
        <v>59.75</v>
      </c>
      <c r="N430" t="str">
        <f t="shared" si="19"/>
        <v>Robusta</v>
      </c>
      <c r="O430" t="str">
        <f t="shared" si="20"/>
        <v>Light</v>
      </c>
      <c r="P430" t="str">
        <f>_xlfn.XLOOKUP(Table1[[#This Row],[Customer ID]],customers!$A$2:$A$1001,customers!$I$2:$I$1001,,0)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INDEX(products!$A$1:$G$49,MATCH(orders!$D431,products!$A$1:$A$49,0),MATCH(I$1,products!$A$1:$G$1,0))</f>
        <v>Ara</v>
      </c>
      <c r="J431" t="str">
        <f>INDEX(products!$A$1:$G$49,MATCH(orders!$D431,products!$A$1:$A$49,0),MATCH(J$1,products!$A$1:$G$1,0))</f>
        <v>L</v>
      </c>
      <c r="K431" s="6">
        <f>INDEX(products!$A$1:$G$49,MATCH(orders!$D431,products!$A$1:$A$49,0),MATCH(K$1,products!$A$1:$G$1,0))</f>
        <v>1</v>
      </c>
      <c r="L431" s="7">
        <f>INDEX(products!$A$1:$G$49,MATCH(orders!$D431,products!$A$1:$A$49,0),MATCH(L$1,products!$A$1:$G$1,0))</f>
        <v>12.95</v>
      </c>
      <c r="M431" s="7">
        <f t="shared" si="18"/>
        <v>77.699999999999989</v>
      </c>
      <c r="N431" t="str">
        <f t="shared" si="19"/>
        <v>Arabica</v>
      </c>
      <c r="O431" t="str">
        <f t="shared" si="20"/>
        <v>Light</v>
      </c>
      <c r="P431" t="str">
        <f>_xlfn.XLOOKUP(Table1[[#This Row],[Customer ID]],customers!$A$2:$A$1001,customers!$I$2:$I$1001,,0)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INDEX(products!$A$1:$G$49,MATCH(orders!$D432,products!$A$1:$A$49,0),MATCH(I$1,products!$A$1:$G$1,0))</f>
        <v>Rob</v>
      </c>
      <c r="J432" t="str">
        <f>INDEX(products!$A$1:$G$49,MATCH(orders!$D432,products!$A$1:$A$49,0),MATCH(J$1,products!$A$1:$G$1,0))</f>
        <v>D</v>
      </c>
      <c r="K432" s="6">
        <f>INDEX(products!$A$1:$G$49,MATCH(orders!$D432,products!$A$1:$A$49,0),MATCH(K$1,products!$A$1:$G$1,0))</f>
        <v>0.2</v>
      </c>
      <c r="L432" s="7">
        <f>INDEX(products!$A$1:$G$49,MATCH(orders!$D432,products!$A$1:$A$49,0),MATCH(L$1,products!$A$1:$G$1,0))</f>
        <v>2.6849999999999996</v>
      </c>
      <c r="M432" s="7">
        <f t="shared" si="18"/>
        <v>5.3699999999999992</v>
      </c>
      <c r="N432" t="str">
        <f t="shared" si="19"/>
        <v>Robusta</v>
      </c>
      <c r="O432" t="str">
        <f t="shared" si="20"/>
        <v>Dark</v>
      </c>
      <c r="P432" t="str">
        <f>_xlfn.XLOOKUP(Table1[[#This Row],[Customer ID]],customers!$A$2:$A$1001,customers!$I$2:$I$1001,,0)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INDEX(products!$A$1:$G$49,MATCH(orders!$D433,products!$A$1:$A$49,0),MATCH(I$1,products!$A$1:$G$1,0))</f>
        <v>Exc</v>
      </c>
      <c r="J433" t="str">
        <f>INDEX(products!$A$1:$G$49,MATCH(orders!$D433,products!$A$1:$A$49,0),MATCH(J$1,products!$A$1:$G$1,0))</f>
        <v>D</v>
      </c>
      <c r="K433" s="6">
        <f>INDEX(products!$A$1:$G$49,MATCH(orders!$D433,products!$A$1:$A$49,0),MATCH(K$1,products!$A$1:$G$1,0))</f>
        <v>2.5</v>
      </c>
      <c r="L433" s="7">
        <f>INDEX(products!$A$1:$G$49,MATCH(orders!$D433,products!$A$1:$A$49,0),MATCH(L$1,products!$A$1:$G$1,0))</f>
        <v>27.945</v>
      </c>
      <c r="M433" s="7">
        <f t="shared" si="18"/>
        <v>83.835000000000008</v>
      </c>
      <c r="N433" t="str">
        <f t="shared" si="19"/>
        <v>Excelsa</v>
      </c>
      <c r="O433" t="str">
        <f t="shared" si="20"/>
        <v>Dark</v>
      </c>
      <c r="P433" t="str">
        <f>_xlfn.XLOOKUP(Table1[[#This Row],[Customer ID]],customers!$A$2:$A$1001,customers!$I$2:$I$1001,,0)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INDEX(products!$A$1:$G$49,MATCH(orders!$D434,products!$A$1:$A$49,0),MATCH(I$1,products!$A$1:$G$1,0))</f>
        <v>Ara</v>
      </c>
      <c r="J434" t="str">
        <f>INDEX(products!$A$1:$G$49,MATCH(orders!$D434,products!$A$1:$A$49,0),MATCH(J$1,products!$A$1:$G$1,0))</f>
        <v>M</v>
      </c>
      <c r="K434" s="6">
        <f>INDEX(products!$A$1:$G$49,MATCH(orders!$D434,products!$A$1:$A$49,0),MATCH(K$1,products!$A$1:$G$1,0))</f>
        <v>1</v>
      </c>
      <c r="L434" s="7">
        <f>INDEX(products!$A$1:$G$49,MATCH(orders!$D434,products!$A$1:$A$49,0),MATCH(L$1,products!$A$1:$G$1,0))</f>
        <v>11.25</v>
      </c>
      <c r="M434" s="7">
        <f t="shared" si="18"/>
        <v>22.5</v>
      </c>
      <c r="N434" t="str">
        <f t="shared" si="19"/>
        <v>Arabica</v>
      </c>
      <c r="O434" t="str">
        <f t="shared" si="20"/>
        <v>Medium</v>
      </c>
      <c r="P434" t="str">
        <f>_xlfn.XLOOKUP(Table1[[#This Row],[Customer ID]],customers!$A$2:$A$1001,customers!$I$2:$I$1001,,0)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INDEX(products!$A$1:$G$49,MATCH(orders!$D435,products!$A$1:$A$49,0),MATCH(I$1,products!$A$1:$G$1,0))</f>
        <v>Lib</v>
      </c>
      <c r="J435" t="str">
        <f>INDEX(products!$A$1:$G$49,MATCH(orders!$D435,products!$A$1:$A$49,0),MATCH(J$1,products!$A$1:$G$1,0))</f>
        <v>M</v>
      </c>
      <c r="K435" s="6">
        <f>INDEX(products!$A$1:$G$49,MATCH(orders!$D435,products!$A$1:$A$49,0),MATCH(K$1,products!$A$1:$G$1,0))</f>
        <v>2.5</v>
      </c>
      <c r="L435" s="7">
        <f>INDEX(products!$A$1:$G$49,MATCH(orders!$D435,products!$A$1:$A$49,0),MATCH(L$1,products!$A$1:$G$1,0))</f>
        <v>33.464999999999996</v>
      </c>
      <c r="M435" s="7">
        <f t="shared" si="18"/>
        <v>200.78999999999996</v>
      </c>
      <c r="N435" t="str">
        <f t="shared" si="19"/>
        <v>Liberica</v>
      </c>
      <c r="O435" t="str">
        <f t="shared" si="20"/>
        <v>Medium</v>
      </c>
      <c r="P435" t="str">
        <f>_xlfn.XLOOKUP(Table1[[#This Row],[Customer ID]],customers!$A$2:$A$1001,customers!$I$2:$I$1001,,0)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INDEX(products!$A$1:$G$49,MATCH(orders!$D436,products!$A$1:$A$49,0),MATCH(I$1,products!$A$1:$G$1,0))</f>
        <v>Ara</v>
      </c>
      <c r="J436" t="str">
        <f>INDEX(products!$A$1:$G$49,MATCH(orders!$D436,products!$A$1:$A$49,0),MATCH(J$1,products!$A$1:$G$1,0))</f>
        <v>M</v>
      </c>
      <c r="K436" s="6">
        <f>INDEX(products!$A$1:$G$49,MATCH(orders!$D436,products!$A$1:$A$49,0),MATCH(K$1,products!$A$1:$G$1,0))</f>
        <v>1</v>
      </c>
      <c r="L436" s="7">
        <f>INDEX(products!$A$1:$G$49,MATCH(orders!$D436,products!$A$1:$A$49,0),MATCH(L$1,products!$A$1:$G$1,0))</f>
        <v>11.25</v>
      </c>
      <c r="M436" s="7">
        <f t="shared" si="18"/>
        <v>67.5</v>
      </c>
      <c r="N436" t="str">
        <f t="shared" si="19"/>
        <v>Arabica</v>
      </c>
      <c r="O436" t="str">
        <f t="shared" si="20"/>
        <v>Medium</v>
      </c>
      <c r="P436" t="str">
        <f>_xlfn.XLOOKUP(Table1[[#This Row],[Customer ID]],customers!$A$2:$A$1001,customers!$I$2:$I$1001,,0)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INDEX(products!$A$1:$G$49,MATCH(orders!$D437,products!$A$1:$A$49,0),MATCH(I$1,products!$A$1:$G$1,0))</f>
        <v>Exc</v>
      </c>
      <c r="J437" t="str">
        <f>INDEX(products!$A$1:$G$49,MATCH(orders!$D437,products!$A$1:$A$49,0),MATCH(J$1,products!$A$1:$G$1,0))</f>
        <v>M</v>
      </c>
      <c r="K437" s="6">
        <f>INDEX(products!$A$1:$G$49,MATCH(orders!$D437,products!$A$1:$A$49,0),MATCH(K$1,products!$A$1:$G$1,0))</f>
        <v>0.5</v>
      </c>
      <c r="L437" s="7">
        <f>INDEX(products!$A$1:$G$49,MATCH(orders!$D437,products!$A$1:$A$49,0),MATCH(L$1,products!$A$1:$G$1,0))</f>
        <v>8.25</v>
      </c>
      <c r="M437" s="7">
        <f t="shared" si="18"/>
        <v>8.25</v>
      </c>
      <c r="N437" t="str">
        <f t="shared" si="19"/>
        <v>Excelsa</v>
      </c>
      <c r="O437" t="str">
        <f t="shared" si="20"/>
        <v>Medium</v>
      </c>
      <c r="P437" t="str">
        <f>_xlfn.XLOOKUP(Table1[[#This Row],[Customer ID]],customers!$A$2:$A$1001,customers!$I$2:$I$1001,,0)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INDEX(products!$A$1:$G$49,MATCH(orders!$D438,products!$A$1:$A$49,0),MATCH(I$1,products!$A$1:$G$1,0))</f>
        <v>Lib</v>
      </c>
      <c r="J438" t="str">
        <f>INDEX(products!$A$1:$G$49,MATCH(orders!$D438,products!$A$1:$A$49,0),MATCH(J$1,products!$A$1:$G$1,0))</f>
        <v>L</v>
      </c>
      <c r="K438" s="6">
        <f>INDEX(products!$A$1:$G$49,MATCH(orders!$D438,products!$A$1:$A$49,0),MATCH(K$1,products!$A$1:$G$1,0))</f>
        <v>0.2</v>
      </c>
      <c r="L438" s="7">
        <f>INDEX(products!$A$1:$G$49,MATCH(orders!$D438,products!$A$1:$A$49,0),MATCH(L$1,products!$A$1:$G$1,0))</f>
        <v>4.7549999999999999</v>
      </c>
      <c r="M438" s="7">
        <f t="shared" si="18"/>
        <v>9.51</v>
      </c>
      <c r="N438" t="str">
        <f t="shared" si="19"/>
        <v>Liberica</v>
      </c>
      <c r="O438" t="str">
        <f t="shared" si="20"/>
        <v>Light</v>
      </c>
      <c r="P438" t="str">
        <f>_xlfn.XLOOKUP(Table1[[#This Row],[Customer ID]],customers!$A$2:$A$1001,customers!$I$2:$I$1001,,0)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INDEX(products!$A$1:$G$49,MATCH(orders!$D439,products!$A$1:$A$49,0),MATCH(I$1,products!$A$1:$G$1,0))</f>
        <v>Lib</v>
      </c>
      <c r="J439" t="str">
        <f>INDEX(products!$A$1:$G$49,MATCH(orders!$D439,products!$A$1:$A$49,0),MATCH(J$1,products!$A$1:$G$1,0))</f>
        <v>D</v>
      </c>
      <c r="K439" s="6">
        <f>INDEX(products!$A$1:$G$49,MATCH(orders!$D439,products!$A$1:$A$49,0),MATCH(K$1,products!$A$1:$G$1,0))</f>
        <v>2.5</v>
      </c>
      <c r="L439" s="7">
        <f>INDEX(products!$A$1:$G$49,MATCH(orders!$D439,products!$A$1:$A$49,0),MATCH(L$1,products!$A$1:$G$1,0))</f>
        <v>29.784999999999997</v>
      </c>
      <c r="M439" s="7">
        <f t="shared" si="18"/>
        <v>29.784999999999997</v>
      </c>
      <c r="N439" t="str">
        <f t="shared" si="19"/>
        <v>Liberica</v>
      </c>
      <c r="O439" t="str">
        <f t="shared" si="20"/>
        <v>Dark</v>
      </c>
      <c r="P439" t="str">
        <f>_xlfn.XLOOKUP(Table1[[#This Row],[Customer ID]],customers!$A$2:$A$1001,customers!$I$2:$I$1001,,0)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INDEX(products!$A$1:$G$49,MATCH(orders!$D440,products!$A$1:$A$49,0),MATCH(I$1,products!$A$1:$G$1,0))</f>
        <v>Lib</v>
      </c>
      <c r="J440" t="str">
        <f>INDEX(products!$A$1:$G$49,MATCH(orders!$D440,products!$A$1:$A$49,0),MATCH(J$1,products!$A$1:$G$1,0))</f>
        <v>D</v>
      </c>
      <c r="K440" s="6">
        <f>INDEX(products!$A$1:$G$49,MATCH(orders!$D440,products!$A$1:$A$49,0),MATCH(K$1,products!$A$1:$G$1,0))</f>
        <v>0.5</v>
      </c>
      <c r="L440" s="7">
        <f>INDEX(products!$A$1:$G$49,MATCH(orders!$D440,products!$A$1:$A$49,0),MATCH(L$1,products!$A$1:$G$1,0))</f>
        <v>7.77</v>
      </c>
      <c r="M440" s="7">
        <f t="shared" si="18"/>
        <v>15.54</v>
      </c>
      <c r="N440" t="str">
        <f t="shared" si="19"/>
        <v>Liberica</v>
      </c>
      <c r="O440" t="str">
        <f t="shared" si="20"/>
        <v>Dark</v>
      </c>
      <c r="P440" t="str">
        <f>_xlfn.XLOOKUP(Table1[[#This Row],[Customer ID]],customers!$A$2:$A$1001,customers!$I$2:$I$1001,,0)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INDEX(products!$A$1:$G$49,MATCH(orders!$D441,products!$A$1:$A$49,0),MATCH(I$1,products!$A$1:$G$1,0))</f>
        <v>Exc</v>
      </c>
      <c r="J441" t="str">
        <f>INDEX(products!$A$1:$G$49,MATCH(orders!$D441,products!$A$1:$A$49,0),MATCH(J$1,products!$A$1:$G$1,0))</f>
        <v>L</v>
      </c>
      <c r="K441" s="6">
        <f>INDEX(products!$A$1:$G$49,MATCH(orders!$D441,products!$A$1:$A$49,0),MATCH(K$1,products!$A$1:$G$1,0))</f>
        <v>0.5</v>
      </c>
      <c r="L441" s="7">
        <f>INDEX(products!$A$1:$G$49,MATCH(orders!$D441,products!$A$1:$A$49,0),MATCH(L$1,products!$A$1:$G$1,0))</f>
        <v>8.91</v>
      </c>
      <c r="M441" s="7">
        <f t="shared" si="18"/>
        <v>35.64</v>
      </c>
      <c r="N441" t="str">
        <f t="shared" si="19"/>
        <v>Excelsa</v>
      </c>
      <c r="O441" t="str">
        <f t="shared" si="20"/>
        <v>Light</v>
      </c>
      <c r="P441" t="str">
        <f>_xlfn.XLOOKUP(Table1[[#This Row],[Customer ID]],customers!$A$2:$A$1001,customers!$I$2:$I$1001,,0)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INDEX(products!$A$1:$G$49,MATCH(orders!$D442,products!$A$1:$A$49,0),MATCH(I$1,products!$A$1:$G$1,0))</f>
        <v>Ara</v>
      </c>
      <c r="J442" t="str">
        <f>INDEX(products!$A$1:$G$49,MATCH(orders!$D442,products!$A$1:$A$49,0),MATCH(J$1,products!$A$1:$G$1,0))</f>
        <v>M</v>
      </c>
      <c r="K442" s="6">
        <f>INDEX(products!$A$1:$G$49,MATCH(orders!$D442,products!$A$1:$A$49,0),MATCH(K$1,products!$A$1:$G$1,0))</f>
        <v>2.5</v>
      </c>
      <c r="L442" s="7">
        <f>INDEX(products!$A$1:$G$49,MATCH(orders!$D442,products!$A$1:$A$49,0),MATCH(L$1,products!$A$1:$G$1,0))</f>
        <v>25.874999999999996</v>
      </c>
      <c r="M442" s="7">
        <f t="shared" si="18"/>
        <v>103.49999999999999</v>
      </c>
      <c r="N442" t="str">
        <f t="shared" si="19"/>
        <v>Arabica</v>
      </c>
      <c r="O442" t="str">
        <f t="shared" si="20"/>
        <v>Medium</v>
      </c>
      <c r="P442" t="str">
        <f>_xlfn.XLOOKUP(Table1[[#This Row],[Customer ID]],customers!$A$2:$A$1001,customers!$I$2:$I$1001,,0)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INDEX(products!$A$1:$G$49,MATCH(orders!$D443,products!$A$1:$A$49,0),MATCH(I$1,products!$A$1:$G$1,0))</f>
        <v>Exc</v>
      </c>
      <c r="J443" t="str">
        <f>INDEX(products!$A$1:$G$49,MATCH(orders!$D443,products!$A$1:$A$49,0),MATCH(J$1,products!$A$1:$G$1,0))</f>
        <v>D</v>
      </c>
      <c r="K443" s="6">
        <f>INDEX(products!$A$1:$G$49,MATCH(orders!$D443,products!$A$1:$A$49,0),MATCH(K$1,products!$A$1:$G$1,0))</f>
        <v>1</v>
      </c>
      <c r="L443" s="7">
        <f>INDEX(products!$A$1:$G$49,MATCH(orders!$D443,products!$A$1:$A$49,0),MATCH(L$1,products!$A$1:$G$1,0))</f>
        <v>12.15</v>
      </c>
      <c r="M443" s="7">
        <f t="shared" si="18"/>
        <v>36.450000000000003</v>
      </c>
      <c r="N443" t="str">
        <f t="shared" si="19"/>
        <v>Excelsa</v>
      </c>
      <c r="O443" t="str">
        <f t="shared" si="20"/>
        <v>Dark</v>
      </c>
      <c r="P443" t="str">
        <f>_xlfn.XLOOKUP(Table1[[#This Row],[Customer ID]],customers!$A$2:$A$1001,customers!$I$2:$I$1001,,0)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INDEX(products!$A$1:$G$49,MATCH(orders!$D444,products!$A$1:$A$49,0),MATCH(I$1,products!$A$1:$G$1,0))</f>
        <v>Rob</v>
      </c>
      <c r="J444" t="str">
        <f>INDEX(products!$A$1:$G$49,MATCH(orders!$D444,products!$A$1:$A$49,0),MATCH(J$1,products!$A$1:$G$1,0))</f>
        <v>L</v>
      </c>
      <c r="K444" s="6">
        <f>INDEX(products!$A$1:$G$49,MATCH(orders!$D444,products!$A$1:$A$49,0),MATCH(K$1,products!$A$1:$G$1,0))</f>
        <v>0.5</v>
      </c>
      <c r="L444" s="7">
        <f>INDEX(products!$A$1:$G$49,MATCH(orders!$D444,products!$A$1:$A$49,0),MATCH(L$1,products!$A$1:$G$1,0))</f>
        <v>7.169999999999999</v>
      </c>
      <c r="M444" s="7">
        <f t="shared" si="18"/>
        <v>35.849999999999994</v>
      </c>
      <c r="N444" t="str">
        <f t="shared" si="19"/>
        <v>Robusta</v>
      </c>
      <c r="O444" t="str">
        <f t="shared" si="20"/>
        <v>Light</v>
      </c>
      <c r="P444" t="str">
        <f>_xlfn.XLOOKUP(Table1[[#This Row],[Customer ID]],customers!$A$2:$A$1001,customers!$I$2:$I$1001,,0)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INDEX(products!$A$1:$G$49,MATCH(orders!$D445,products!$A$1:$A$49,0),MATCH(I$1,products!$A$1:$G$1,0))</f>
        <v>Exc</v>
      </c>
      <c r="J445" t="str">
        <f>INDEX(products!$A$1:$G$49,MATCH(orders!$D445,products!$A$1:$A$49,0),MATCH(J$1,products!$A$1:$G$1,0))</f>
        <v>L</v>
      </c>
      <c r="K445" s="6">
        <f>INDEX(products!$A$1:$G$49,MATCH(orders!$D445,products!$A$1:$A$49,0),MATCH(K$1,products!$A$1:$G$1,0))</f>
        <v>0.2</v>
      </c>
      <c r="L445" s="7">
        <f>INDEX(products!$A$1:$G$49,MATCH(orders!$D445,products!$A$1:$A$49,0),MATCH(L$1,products!$A$1:$G$1,0))</f>
        <v>4.4550000000000001</v>
      </c>
      <c r="M445" s="7">
        <f t="shared" si="18"/>
        <v>22.274999999999999</v>
      </c>
      <c r="N445" t="str">
        <f t="shared" si="19"/>
        <v>Excelsa</v>
      </c>
      <c r="O445" t="str">
        <f t="shared" si="20"/>
        <v>Light</v>
      </c>
      <c r="P445" t="str">
        <f>_xlfn.XLOOKUP(Table1[[#This Row],[Customer ID]],customers!$A$2:$A$1001,customers!$I$2:$I$1001,,0)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INDEX(products!$A$1:$G$49,MATCH(orders!$D446,products!$A$1:$A$49,0),MATCH(I$1,products!$A$1:$G$1,0))</f>
        <v>Exc</v>
      </c>
      <c r="J446" t="str">
        <f>INDEX(products!$A$1:$G$49,MATCH(orders!$D446,products!$A$1:$A$49,0),MATCH(J$1,products!$A$1:$G$1,0))</f>
        <v>M</v>
      </c>
      <c r="K446" s="6">
        <f>INDEX(products!$A$1:$G$49,MATCH(orders!$D446,products!$A$1:$A$49,0),MATCH(K$1,products!$A$1:$G$1,0))</f>
        <v>0.2</v>
      </c>
      <c r="L446" s="7">
        <f>INDEX(products!$A$1:$G$49,MATCH(orders!$D446,products!$A$1:$A$49,0),MATCH(L$1,products!$A$1:$G$1,0))</f>
        <v>4.125</v>
      </c>
      <c r="M446" s="7">
        <f t="shared" si="18"/>
        <v>24.75</v>
      </c>
      <c r="N446" t="str">
        <f t="shared" si="19"/>
        <v>Excelsa</v>
      </c>
      <c r="O446" t="str">
        <f t="shared" si="20"/>
        <v>Medium</v>
      </c>
      <c r="P446" t="str">
        <f>_xlfn.XLOOKUP(Table1[[#This Row],[Customer ID]],customers!$A$2:$A$1001,customers!$I$2:$I$1001,,0)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INDEX(products!$A$1:$G$49,MATCH(orders!$D447,products!$A$1:$A$49,0),MATCH(I$1,products!$A$1:$G$1,0))</f>
        <v>Lib</v>
      </c>
      <c r="J447" t="str">
        <f>INDEX(products!$A$1:$G$49,MATCH(orders!$D447,products!$A$1:$A$49,0),MATCH(J$1,products!$A$1:$G$1,0))</f>
        <v>M</v>
      </c>
      <c r="K447" s="6">
        <f>INDEX(products!$A$1:$G$49,MATCH(orders!$D447,products!$A$1:$A$49,0),MATCH(K$1,products!$A$1:$G$1,0))</f>
        <v>2.5</v>
      </c>
      <c r="L447" s="7">
        <f>INDEX(products!$A$1:$G$49,MATCH(orders!$D447,products!$A$1:$A$49,0),MATCH(L$1,products!$A$1:$G$1,0))</f>
        <v>33.464999999999996</v>
      </c>
      <c r="M447" s="7">
        <f t="shared" si="18"/>
        <v>66.929999999999993</v>
      </c>
      <c r="N447" t="str">
        <f t="shared" si="19"/>
        <v>Liberica</v>
      </c>
      <c r="O447" t="str">
        <f t="shared" si="20"/>
        <v>Medium</v>
      </c>
      <c r="P447" t="str">
        <f>_xlfn.XLOOKUP(Table1[[#This Row],[Customer ID]],customers!$A$2:$A$1001,customers!$I$2:$I$1001,,0)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INDEX(products!$A$1:$G$49,MATCH(orders!$D448,products!$A$1:$A$49,0),MATCH(I$1,products!$A$1:$G$1,0))</f>
        <v>Lib</v>
      </c>
      <c r="J448" t="str">
        <f>INDEX(products!$A$1:$G$49,MATCH(orders!$D448,products!$A$1:$A$49,0),MATCH(J$1,products!$A$1:$G$1,0))</f>
        <v>M</v>
      </c>
      <c r="K448" s="6">
        <f>INDEX(products!$A$1:$G$49,MATCH(orders!$D448,products!$A$1:$A$49,0),MATCH(K$1,products!$A$1:$G$1,0))</f>
        <v>0.5</v>
      </c>
      <c r="L448" s="7">
        <f>INDEX(products!$A$1:$G$49,MATCH(orders!$D448,products!$A$1:$A$49,0),MATCH(L$1,products!$A$1:$G$1,0))</f>
        <v>8.73</v>
      </c>
      <c r="M448" s="7">
        <f t="shared" si="18"/>
        <v>8.73</v>
      </c>
      <c r="N448" t="str">
        <f t="shared" si="19"/>
        <v>Liberica</v>
      </c>
      <c r="O448" t="str">
        <f t="shared" si="20"/>
        <v>Medium</v>
      </c>
      <c r="P448" t="str">
        <f>_xlfn.XLOOKUP(Table1[[#This Row],[Customer ID]],customers!$A$2:$A$1001,customers!$I$2:$I$1001,,0)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INDEX(products!$A$1:$G$49,MATCH(orders!$D449,products!$A$1:$A$49,0),MATCH(I$1,products!$A$1:$G$1,0))</f>
        <v>Rob</v>
      </c>
      <c r="J449" t="str">
        <f>INDEX(products!$A$1:$G$49,MATCH(orders!$D449,products!$A$1:$A$49,0),MATCH(J$1,products!$A$1:$G$1,0))</f>
        <v>M</v>
      </c>
      <c r="K449" s="6">
        <f>INDEX(products!$A$1:$G$49,MATCH(orders!$D449,products!$A$1:$A$49,0),MATCH(K$1,products!$A$1:$G$1,0))</f>
        <v>0.5</v>
      </c>
      <c r="L449" s="7">
        <f>INDEX(products!$A$1:$G$49,MATCH(orders!$D449,products!$A$1:$A$49,0),MATCH(L$1,products!$A$1:$G$1,0))</f>
        <v>5.97</v>
      </c>
      <c r="M449" s="7">
        <f t="shared" si="18"/>
        <v>17.91</v>
      </c>
      <c r="N449" t="str">
        <f t="shared" si="19"/>
        <v>Robusta</v>
      </c>
      <c r="O449" t="str">
        <f t="shared" si="20"/>
        <v>Medium</v>
      </c>
      <c r="P449" t="str">
        <f>_xlfn.XLOOKUP(Table1[[#This Row],[Customer ID]],customers!$A$2:$A$1001,customers!$I$2:$I$1001,,0)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INDEX(products!$A$1:$G$49,MATCH(orders!$D450,products!$A$1:$A$49,0),MATCH(I$1,products!$A$1:$G$1,0))</f>
        <v>Rob</v>
      </c>
      <c r="J450" t="str">
        <f>INDEX(products!$A$1:$G$49,MATCH(orders!$D450,products!$A$1:$A$49,0),MATCH(J$1,products!$A$1:$G$1,0))</f>
        <v>L</v>
      </c>
      <c r="K450" s="6">
        <f>INDEX(products!$A$1:$G$49,MATCH(orders!$D450,products!$A$1:$A$49,0),MATCH(K$1,products!$A$1:$G$1,0))</f>
        <v>0.5</v>
      </c>
      <c r="L450" s="7">
        <f>INDEX(products!$A$1:$G$49,MATCH(orders!$D450,products!$A$1:$A$49,0),MATCH(L$1,products!$A$1:$G$1,0))</f>
        <v>7.169999999999999</v>
      </c>
      <c r="M450" s="7">
        <f t="shared" si="18"/>
        <v>7.169999999999999</v>
      </c>
      <c r="N450" t="str">
        <f t="shared" si="19"/>
        <v>Robusta</v>
      </c>
      <c r="O450" t="str">
        <f t="shared" si="20"/>
        <v>Light</v>
      </c>
      <c r="P450" t="str">
        <f>_xlfn.XLOOKUP(Table1[[#This Row],[Customer ID]],customers!$A$2:$A$1001,customers!$I$2:$I$1001,,0)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INDEX(products!$A$1:$G$49,MATCH(orders!$D451,products!$A$1:$A$49,0),MATCH(I$1,products!$A$1:$G$1,0))</f>
        <v>Rob</v>
      </c>
      <c r="J451" t="str">
        <f>INDEX(products!$A$1:$G$49,MATCH(orders!$D451,products!$A$1:$A$49,0),MATCH(J$1,products!$A$1:$G$1,0))</f>
        <v>D</v>
      </c>
      <c r="K451" s="6">
        <f>INDEX(products!$A$1:$G$49,MATCH(orders!$D451,products!$A$1:$A$49,0),MATCH(K$1,products!$A$1:$G$1,0))</f>
        <v>0.2</v>
      </c>
      <c r="L451" s="7">
        <f>INDEX(products!$A$1:$G$49,MATCH(orders!$D451,products!$A$1:$A$49,0),MATCH(L$1,products!$A$1:$G$1,0))</f>
        <v>2.6849999999999996</v>
      </c>
      <c r="M451" s="7">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_xlfn.XLOOKUP(Table1[[#This Row],[Customer ID]],customers!$A$2:$A$1001,customers!$I$2:$I$1001,,0)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INDEX(products!$A$1:$G$49,MATCH(orders!$D452,products!$A$1:$A$49,0),MATCH(I$1,products!$A$1:$G$1,0))</f>
        <v>Lib</v>
      </c>
      <c r="J452" t="str">
        <f>INDEX(products!$A$1:$G$49,MATCH(orders!$D452,products!$A$1:$A$49,0),MATCH(J$1,products!$A$1:$G$1,0))</f>
        <v>L</v>
      </c>
      <c r="K452" s="6">
        <f>INDEX(products!$A$1:$G$49,MATCH(orders!$D452,products!$A$1:$A$49,0),MATCH(K$1,products!$A$1:$G$1,0))</f>
        <v>0.2</v>
      </c>
      <c r="L452" s="7">
        <f>INDEX(products!$A$1:$G$49,MATCH(orders!$D452,products!$A$1:$A$49,0),MATCH(L$1,products!$A$1:$G$1,0))</f>
        <v>4.7549999999999999</v>
      </c>
      <c r="M452" s="7">
        <f t="shared" si="21"/>
        <v>23.774999999999999</v>
      </c>
      <c r="N452" t="str">
        <f t="shared" si="22"/>
        <v>Liberica</v>
      </c>
      <c r="O452" t="str">
        <f t="shared" si="23"/>
        <v>Light</v>
      </c>
      <c r="P452" t="str">
        <f>_xlfn.XLOOKUP(Table1[[#This Row],[Customer ID]],customers!$A$2:$A$1001,customers!$I$2:$I$1001,,0)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INDEX(products!$A$1:$G$49,MATCH(orders!$D453,products!$A$1:$A$49,0),MATCH(I$1,products!$A$1:$G$1,0))</f>
        <v>Rob</v>
      </c>
      <c r="J453" t="str">
        <f>INDEX(products!$A$1:$G$49,MATCH(orders!$D453,products!$A$1:$A$49,0),MATCH(J$1,products!$A$1:$G$1,0))</f>
        <v>D</v>
      </c>
      <c r="K453" s="6">
        <f>INDEX(products!$A$1:$G$49,MATCH(orders!$D453,products!$A$1:$A$49,0),MATCH(K$1,products!$A$1:$G$1,0))</f>
        <v>2.5</v>
      </c>
      <c r="L453" s="7">
        <f>INDEX(products!$A$1:$G$49,MATCH(orders!$D453,products!$A$1:$A$49,0),MATCH(L$1,products!$A$1:$G$1,0))</f>
        <v>20.584999999999997</v>
      </c>
      <c r="M453" s="7">
        <f t="shared" si="21"/>
        <v>41.169999999999995</v>
      </c>
      <c r="N453" t="str">
        <f t="shared" si="22"/>
        <v>Robusta</v>
      </c>
      <c r="O453" t="str">
        <f t="shared" si="23"/>
        <v>Dark</v>
      </c>
      <c r="P453" t="str">
        <f>_xlfn.XLOOKUP(Table1[[#This Row],[Customer ID]],customers!$A$2:$A$1001,customers!$I$2:$I$1001,,0)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INDEX(products!$A$1:$G$49,MATCH(orders!$D454,products!$A$1:$A$49,0),MATCH(I$1,products!$A$1:$G$1,0))</f>
        <v>Ara</v>
      </c>
      <c r="J454" t="str">
        <f>INDEX(products!$A$1:$G$49,MATCH(orders!$D454,products!$A$1:$A$49,0),MATCH(J$1,products!$A$1:$G$1,0))</f>
        <v>L</v>
      </c>
      <c r="K454" s="6">
        <f>INDEX(products!$A$1:$G$49,MATCH(orders!$D454,products!$A$1:$A$49,0),MATCH(K$1,products!$A$1:$G$1,0))</f>
        <v>0.2</v>
      </c>
      <c r="L454" s="7">
        <f>INDEX(products!$A$1:$G$49,MATCH(orders!$D454,products!$A$1:$A$49,0),MATCH(L$1,products!$A$1:$G$1,0))</f>
        <v>3.8849999999999998</v>
      </c>
      <c r="M454" s="7">
        <f t="shared" si="21"/>
        <v>11.654999999999999</v>
      </c>
      <c r="N454" t="str">
        <f t="shared" si="22"/>
        <v>Arabica</v>
      </c>
      <c r="O454" t="str">
        <f t="shared" si="23"/>
        <v>Light</v>
      </c>
      <c r="P454" t="str">
        <f>_xlfn.XLOOKUP(Table1[[#This Row],[Customer ID]],customers!$A$2:$A$1001,customers!$I$2:$I$1001,,0)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INDEX(products!$A$1:$G$49,MATCH(orders!$D455,products!$A$1:$A$49,0),MATCH(I$1,products!$A$1:$G$1,0))</f>
        <v>Lib</v>
      </c>
      <c r="J455" t="str">
        <f>INDEX(products!$A$1:$G$49,MATCH(orders!$D455,products!$A$1:$A$49,0),MATCH(J$1,products!$A$1:$G$1,0))</f>
        <v>L</v>
      </c>
      <c r="K455" s="6">
        <f>INDEX(products!$A$1:$G$49,MATCH(orders!$D455,products!$A$1:$A$49,0),MATCH(K$1,products!$A$1:$G$1,0))</f>
        <v>0.5</v>
      </c>
      <c r="L455" s="7">
        <f>INDEX(products!$A$1:$G$49,MATCH(orders!$D455,products!$A$1:$A$49,0),MATCH(L$1,products!$A$1:$G$1,0))</f>
        <v>9.51</v>
      </c>
      <c r="M455" s="7">
        <f t="shared" si="21"/>
        <v>38.04</v>
      </c>
      <c r="N455" t="str">
        <f t="shared" si="22"/>
        <v>Liberica</v>
      </c>
      <c r="O455" t="str">
        <f t="shared" si="23"/>
        <v>Light</v>
      </c>
      <c r="P455" t="str">
        <f>_xlfn.XLOOKUP(Table1[[#This Row],[Customer ID]],customers!$A$2:$A$1001,customers!$I$2:$I$1001,,0)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INDEX(products!$A$1:$G$49,MATCH(orders!$D456,products!$A$1:$A$49,0),MATCH(I$1,products!$A$1:$G$1,0))</f>
        <v>Rob</v>
      </c>
      <c r="J456" t="str">
        <f>INDEX(products!$A$1:$G$49,MATCH(orders!$D456,products!$A$1:$A$49,0),MATCH(J$1,products!$A$1:$G$1,0))</f>
        <v>D</v>
      </c>
      <c r="K456" s="6">
        <f>INDEX(products!$A$1:$G$49,MATCH(orders!$D456,products!$A$1:$A$49,0),MATCH(K$1,products!$A$1:$G$1,0))</f>
        <v>2.5</v>
      </c>
      <c r="L456" s="7">
        <f>INDEX(products!$A$1:$G$49,MATCH(orders!$D456,products!$A$1:$A$49,0),MATCH(L$1,products!$A$1:$G$1,0))</f>
        <v>20.584999999999997</v>
      </c>
      <c r="M456" s="7">
        <f t="shared" si="21"/>
        <v>82.339999999999989</v>
      </c>
      <c r="N456" t="str">
        <f t="shared" si="22"/>
        <v>Robusta</v>
      </c>
      <c r="O456" t="str">
        <f t="shared" si="23"/>
        <v>Dark</v>
      </c>
      <c r="P456" t="str">
        <f>_xlfn.XLOOKUP(Table1[[#This Row],[Customer ID]],customers!$A$2:$A$1001,customers!$I$2:$I$1001,,0)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INDEX(products!$A$1:$G$49,MATCH(orders!$D457,products!$A$1:$A$49,0),MATCH(I$1,products!$A$1:$G$1,0))</f>
        <v>Lib</v>
      </c>
      <c r="J457" t="str">
        <f>INDEX(products!$A$1:$G$49,MATCH(orders!$D457,products!$A$1:$A$49,0),MATCH(J$1,products!$A$1:$G$1,0))</f>
        <v>L</v>
      </c>
      <c r="K457" s="6">
        <f>INDEX(products!$A$1:$G$49,MATCH(orders!$D457,products!$A$1:$A$49,0),MATCH(K$1,products!$A$1:$G$1,0))</f>
        <v>0.2</v>
      </c>
      <c r="L457" s="7">
        <f>INDEX(products!$A$1:$G$49,MATCH(orders!$D457,products!$A$1:$A$49,0),MATCH(L$1,products!$A$1:$G$1,0))</f>
        <v>4.7549999999999999</v>
      </c>
      <c r="M457" s="7">
        <f t="shared" si="21"/>
        <v>9.51</v>
      </c>
      <c r="N457" t="str">
        <f t="shared" si="22"/>
        <v>Liberica</v>
      </c>
      <c r="O457" t="str">
        <f t="shared" si="23"/>
        <v>Light</v>
      </c>
      <c r="P457" t="str">
        <f>_xlfn.XLOOKUP(Table1[[#This Row],[Customer ID]],customers!$A$2:$A$1001,customers!$I$2:$I$1001,,0)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INDEX(products!$A$1:$G$49,MATCH(orders!$D458,products!$A$1:$A$49,0),MATCH(I$1,products!$A$1:$G$1,0))</f>
        <v>Rob</v>
      </c>
      <c r="J458" t="str">
        <f>INDEX(products!$A$1:$G$49,MATCH(orders!$D458,products!$A$1:$A$49,0),MATCH(J$1,products!$A$1:$G$1,0))</f>
        <v>D</v>
      </c>
      <c r="K458" s="6">
        <f>INDEX(products!$A$1:$G$49,MATCH(orders!$D458,products!$A$1:$A$49,0),MATCH(K$1,products!$A$1:$G$1,0))</f>
        <v>2.5</v>
      </c>
      <c r="L458" s="7">
        <f>INDEX(products!$A$1:$G$49,MATCH(orders!$D458,products!$A$1:$A$49,0),MATCH(L$1,products!$A$1:$G$1,0))</f>
        <v>20.584999999999997</v>
      </c>
      <c r="M458" s="7">
        <f t="shared" si="21"/>
        <v>41.169999999999995</v>
      </c>
      <c r="N458" t="str">
        <f t="shared" si="22"/>
        <v>Robusta</v>
      </c>
      <c r="O458" t="str">
        <f t="shared" si="23"/>
        <v>Dark</v>
      </c>
      <c r="P458" t="str">
        <f>_xlfn.XLOOKUP(Table1[[#This Row],[Customer ID]],customers!$A$2:$A$1001,customers!$I$2:$I$1001,,0)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INDEX(products!$A$1:$G$49,MATCH(orders!$D459,products!$A$1:$A$49,0),MATCH(I$1,products!$A$1:$G$1,0))</f>
        <v>Lib</v>
      </c>
      <c r="J459" t="str">
        <f>INDEX(products!$A$1:$G$49,MATCH(orders!$D459,products!$A$1:$A$49,0),MATCH(J$1,products!$A$1:$G$1,0))</f>
        <v>L</v>
      </c>
      <c r="K459" s="6">
        <f>INDEX(products!$A$1:$G$49,MATCH(orders!$D459,products!$A$1:$A$49,0),MATCH(K$1,products!$A$1:$G$1,0))</f>
        <v>0.5</v>
      </c>
      <c r="L459" s="7">
        <f>INDEX(products!$A$1:$G$49,MATCH(orders!$D459,products!$A$1:$A$49,0),MATCH(L$1,products!$A$1:$G$1,0))</f>
        <v>9.51</v>
      </c>
      <c r="M459" s="7">
        <f t="shared" si="21"/>
        <v>47.55</v>
      </c>
      <c r="N459" t="str">
        <f t="shared" si="22"/>
        <v>Liberica</v>
      </c>
      <c r="O459" t="str">
        <f t="shared" si="23"/>
        <v>Light</v>
      </c>
      <c r="P459" t="str">
        <f>_xlfn.XLOOKUP(Table1[[#This Row],[Customer ID]],customers!$A$2:$A$1001,customers!$I$2:$I$1001,,0)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INDEX(products!$A$1:$G$49,MATCH(orders!$D460,products!$A$1:$A$49,0),MATCH(I$1,products!$A$1:$G$1,0))</f>
        <v>Ara</v>
      </c>
      <c r="J460" t="str">
        <f>INDEX(products!$A$1:$G$49,MATCH(orders!$D460,products!$A$1:$A$49,0),MATCH(J$1,products!$A$1:$G$1,0))</f>
        <v>M</v>
      </c>
      <c r="K460" s="6">
        <f>INDEX(products!$A$1:$G$49,MATCH(orders!$D460,products!$A$1:$A$49,0),MATCH(K$1,products!$A$1:$G$1,0))</f>
        <v>1</v>
      </c>
      <c r="L460" s="7">
        <f>INDEX(products!$A$1:$G$49,MATCH(orders!$D460,products!$A$1:$A$49,0),MATCH(L$1,products!$A$1:$G$1,0))</f>
        <v>11.25</v>
      </c>
      <c r="M460" s="7">
        <f t="shared" si="21"/>
        <v>45</v>
      </c>
      <c r="N460" t="str">
        <f t="shared" si="22"/>
        <v>Arabica</v>
      </c>
      <c r="O460" t="str">
        <f t="shared" si="23"/>
        <v>Medium</v>
      </c>
      <c r="P460" t="str">
        <f>_xlfn.XLOOKUP(Table1[[#This Row],[Customer ID]],customers!$A$2:$A$1001,customers!$I$2:$I$1001,,0)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INDEX(products!$A$1:$G$49,MATCH(orders!$D461,products!$A$1:$A$49,0),MATCH(I$1,products!$A$1:$G$1,0))</f>
        <v>Lib</v>
      </c>
      <c r="J461" t="str">
        <f>INDEX(products!$A$1:$G$49,MATCH(orders!$D461,products!$A$1:$A$49,0),MATCH(J$1,products!$A$1:$G$1,0))</f>
        <v>L</v>
      </c>
      <c r="K461" s="6">
        <f>INDEX(products!$A$1:$G$49,MATCH(orders!$D461,products!$A$1:$A$49,0),MATCH(K$1,products!$A$1:$G$1,0))</f>
        <v>0.2</v>
      </c>
      <c r="L461" s="7">
        <f>INDEX(products!$A$1:$G$49,MATCH(orders!$D461,products!$A$1:$A$49,0),MATCH(L$1,products!$A$1:$G$1,0))</f>
        <v>4.7549999999999999</v>
      </c>
      <c r="M461" s="7">
        <f t="shared" si="21"/>
        <v>23.774999999999999</v>
      </c>
      <c r="N461" t="str">
        <f t="shared" si="22"/>
        <v>Liberica</v>
      </c>
      <c r="O461" t="str">
        <f t="shared" si="23"/>
        <v>Light</v>
      </c>
      <c r="P461" t="str">
        <f>_xlfn.XLOOKUP(Table1[[#This Row],[Customer ID]],customers!$A$2:$A$1001,customers!$I$2:$I$1001,,0)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INDEX(products!$A$1:$G$49,MATCH(orders!$D462,products!$A$1:$A$49,0),MATCH(I$1,products!$A$1:$G$1,0))</f>
        <v>Rob</v>
      </c>
      <c r="J462" t="str">
        <f>INDEX(products!$A$1:$G$49,MATCH(orders!$D462,products!$A$1:$A$49,0),MATCH(J$1,products!$A$1:$G$1,0))</f>
        <v>D</v>
      </c>
      <c r="K462" s="6">
        <f>INDEX(products!$A$1:$G$49,MATCH(orders!$D462,products!$A$1:$A$49,0),MATCH(K$1,products!$A$1:$G$1,0))</f>
        <v>0.5</v>
      </c>
      <c r="L462" s="7">
        <f>INDEX(products!$A$1:$G$49,MATCH(orders!$D462,products!$A$1:$A$49,0),MATCH(L$1,products!$A$1:$G$1,0))</f>
        <v>5.3699999999999992</v>
      </c>
      <c r="M462" s="7">
        <f t="shared" si="21"/>
        <v>16.11</v>
      </c>
      <c r="N462" t="str">
        <f t="shared" si="22"/>
        <v>Robusta</v>
      </c>
      <c r="O462" t="str">
        <f t="shared" si="23"/>
        <v>Dark</v>
      </c>
      <c r="P462" t="str">
        <f>_xlfn.XLOOKUP(Table1[[#This Row],[Customer ID]],customers!$A$2:$A$1001,customers!$I$2:$I$1001,,0)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INDEX(products!$A$1:$G$49,MATCH(orders!$D463,products!$A$1:$A$49,0),MATCH(I$1,products!$A$1:$G$1,0))</f>
        <v>Rob</v>
      </c>
      <c r="J463" t="str">
        <f>INDEX(products!$A$1:$G$49,MATCH(orders!$D463,products!$A$1:$A$49,0),MATCH(J$1,products!$A$1:$G$1,0))</f>
        <v>D</v>
      </c>
      <c r="K463" s="6">
        <f>INDEX(products!$A$1:$G$49,MATCH(orders!$D463,products!$A$1:$A$49,0),MATCH(K$1,products!$A$1:$G$1,0))</f>
        <v>0.2</v>
      </c>
      <c r="L463" s="7">
        <f>INDEX(products!$A$1:$G$49,MATCH(orders!$D463,products!$A$1:$A$49,0),MATCH(L$1,products!$A$1:$G$1,0))</f>
        <v>2.6849999999999996</v>
      </c>
      <c r="M463" s="7">
        <f t="shared" si="21"/>
        <v>10.739999999999998</v>
      </c>
      <c r="N463" t="str">
        <f t="shared" si="22"/>
        <v>Robusta</v>
      </c>
      <c r="O463" t="str">
        <f t="shared" si="23"/>
        <v>Dark</v>
      </c>
      <c r="P463" t="str">
        <f>_xlfn.XLOOKUP(Table1[[#This Row],[Customer ID]],customers!$A$2:$A$1001,customers!$I$2:$I$1001,,0)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INDEX(products!$A$1:$G$49,MATCH(orders!$D464,products!$A$1:$A$49,0),MATCH(I$1,products!$A$1:$G$1,0))</f>
        <v>Ara</v>
      </c>
      <c r="J464" t="str">
        <f>INDEX(products!$A$1:$G$49,MATCH(orders!$D464,products!$A$1:$A$49,0),MATCH(J$1,products!$A$1:$G$1,0))</f>
        <v>D</v>
      </c>
      <c r="K464" s="6">
        <f>INDEX(products!$A$1:$G$49,MATCH(orders!$D464,products!$A$1:$A$49,0),MATCH(K$1,products!$A$1:$G$1,0))</f>
        <v>1</v>
      </c>
      <c r="L464" s="7">
        <f>INDEX(products!$A$1:$G$49,MATCH(orders!$D464,products!$A$1:$A$49,0),MATCH(L$1,products!$A$1:$G$1,0))</f>
        <v>9.9499999999999993</v>
      </c>
      <c r="M464" s="7">
        <f t="shared" si="21"/>
        <v>49.75</v>
      </c>
      <c r="N464" t="str">
        <f t="shared" si="22"/>
        <v>Arabica</v>
      </c>
      <c r="O464" t="str">
        <f t="shared" si="23"/>
        <v>Dark</v>
      </c>
      <c r="P464" t="str">
        <f>_xlfn.XLOOKUP(Table1[[#This Row],[Customer ID]],customers!$A$2:$A$1001,customers!$I$2:$I$1001,,0)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INDEX(products!$A$1:$G$49,MATCH(orders!$D465,products!$A$1:$A$49,0),MATCH(I$1,products!$A$1:$G$1,0))</f>
        <v>Exc</v>
      </c>
      <c r="J465" t="str">
        <f>INDEX(products!$A$1:$G$49,MATCH(orders!$D465,products!$A$1:$A$49,0),MATCH(J$1,products!$A$1:$G$1,0))</f>
        <v>M</v>
      </c>
      <c r="K465" s="6">
        <f>INDEX(products!$A$1:$G$49,MATCH(orders!$D465,products!$A$1:$A$49,0),MATCH(K$1,products!$A$1:$G$1,0))</f>
        <v>1</v>
      </c>
      <c r="L465" s="7">
        <f>INDEX(products!$A$1:$G$49,MATCH(orders!$D465,products!$A$1:$A$49,0),MATCH(L$1,products!$A$1:$G$1,0))</f>
        <v>13.75</v>
      </c>
      <c r="M465" s="7">
        <f t="shared" si="21"/>
        <v>27.5</v>
      </c>
      <c r="N465" t="str">
        <f t="shared" si="22"/>
        <v>Excelsa</v>
      </c>
      <c r="O465" t="str">
        <f t="shared" si="23"/>
        <v>Medium</v>
      </c>
      <c r="P465" t="str">
        <f>_xlfn.XLOOKUP(Table1[[#This Row],[Customer ID]],customers!$A$2:$A$1001,customers!$I$2:$I$1001,,0)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INDEX(products!$A$1:$G$49,MATCH(orders!$D466,products!$A$1:$A$49,0),MATCH(I$1,products!$A$1:$G$1,0))</f>
        <v>Lib</v>
      </c>
      <c r="J466" t="str">
        <f>INDEX(products!$A$1:$G$49,MATCH(orders!$D466,products!$A$1:$A$49,0),MATCH(J$1,products!$A$1:$G$1,0))</f>
        <v>D</v>
      </c>
      <c r="K466" s="6">
        <f>INDEX(products!$A$1:$G$49,MATCH(orders!$D466,products!$A$1:$A$49,0),MATCH(K$1,products!$A$1:$G$1,0))</f>
        <v>2.5</v>
      </c>
      <c r="L466" s="7">
        <f>INDEX(products!$A$1:$G$49,MATCH(orders!$D466,products!$A$1:$A$49,0),MATCH(L$1,products!$A$1:$G$1,0))</f>
        <v>29.784999999999997</v>
      </c>
      <c r="M466" s="7">
        <f t="shared" si="21"/>
        <v>119.13999999999999</v>
      </c>
      <c r="N466" t="str">
        <f t="shared" si="22"/>
        <v>Liberica</v>
      </c>
      <c r="O466" t="str">
        <f t="shared" si="23"/>
        <v>Dark</v>
      </c>
      <c r="P466" t="str">
        <f>_xlfn.XLOOKUP(Table1[[#This Row],[Customer ID]],customers!$A$2:$A$1001,customers!$I$2:$I$1001,,0)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INDEX(products!$A$1:$G$49,MATCH(orders!$D467,products!$A$1:$A$49,0),MATCH(I$1,products!$A$1:$G$1,0))</f>
        <v>Rob</v>
      </c>
      <c r="J467" t="str">
        <f>INDEX(products!$A$1:$G$49,MATCH(orders!$D467,products!$A$1:$A$49,0),MATCH(J$1,products!$A$1:$G$1,0))</f>
        <v>D</v>
      </c>
      <c r="K467" s="6">
        <f>INDEX(products!$A$1:$G$49,MATCH(orders!$D467,products!$A$1:$A$49,0),MATCH(K$1,products!$A$1:$G$1,0))</f>
        <v>2.5</v>
      </c>
      <c r="L467" s="7">
        <f>INDEX(products!$A$1:$G$49,MATCH(orders!$D467,products!$A$1:$A$49,0),MATCH(L$1,products!$A$1:$G$1,0))</f>
        <v>20.584999999999997</v>
      </c>
      <c r="M467" s="7">
        <f t="shared" si="21"/>
        <v>20.584999999999997</v>
      </c>
      <c r="N467" t="str">
        <f t="shared" si="22"/>
        <v>Robusta</v>
      </c>
      <c r="O467" t="str">
        <f t="shared" si="23"/>
        <v>Dark</v>
      </c>
      <c r="P467" t="str">
        <f>_xlfn.XLOOKUP(Table1[[#This Row],[Customer ID]],customers!$A$2:$A$1001,customers!$I$2:$I$1001,,0)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INDEX(products!$A$1:$G$49,MATCH(orders!$D468,products!$A$1:$A$49,0),MATCH(I$1,products!$A$1:$G$1,0))</f>
        <v>Ara</v>
      </c>
      <c r="J468" t="str">
        <f>INDEX(products!$A$1:$G$49,MATCH(orders!$D468,products!$A$1:$A$49,0),MATCH(J$1,products!$A$1:$G$1,0))</f>
        <v>D</v>
      </c>
      <c r="K468" s="6">
        <f>INDEX(products!$A$1:$G$49,MATCH(orders!$D468,products!$A$1:$A$49,0),MATCH(K$1,products!$A$1:$G$1,0))</f>
        <v>0.2</v>
      </c>
      <c r="L468" s="7">
        <f>INDEX(products!$A$1:$G$49,MATCH(orders!$D468,products!$A$1:$A$49,0),MATCH(L$1,products!$A$1:$G$1,0))</f>
        <v>2.9849999999999999</v>
      </c>
      <c r="M468" s="7">
        <f t="shared" si="21"/>
        <v>8.9550000000000001</v>
      </c>
      <c r="N468" t="str">
        <f t="shared" si="22"/>
        <v>Arabica</v>
      </c>
      <c r="O468" t="str">
        <f t="shared" si="23"/>
        <v>Dark</v>
      </c>
      <c r="P468" t="str">
        <f>_xlfn.XLOOKUP(Table1[[#This Row],[Customer ID]],customers!$A$2:$A$1001,customers!$I$2:$I$1001,,0)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INDEX(products!$A$1:$G$49,MATCH(orders!$D469,products!$A$1:$A$49,0),MATCH(I$1,products!$A$1:$G$1,0))</f>
        <v>Ara</v>
      </c>
      <c r="J469" t="str">
        <f>INDEX(products!$A$1:$G$49,MATCH(orders!$D469,products!$A$1:$A$49,0),MATCH(J$1,products!$A$1:$G$1,0))</f>
        <v>D</v>
      </c>
      <c r="K469" s="6">
        <f>INDEX(products!$A$1:$G$49,MATCH(orders!$D469,products!$A$1:$A$49,0),MATCH(K$1,products!$A$1:$G$1,0))</f>
        <v>0.5</v>
      </c>
      <c r="L469" s="7">
        <f>INDEX(products!$A$1:$G$49,MATCH(orders!$D469,products!$A$1:$A$49,0),MATCH(L$1,products!$A$1:$G$1,0))</f>
        <v>5.97</v>
      </c>
      <c r="M469" s="7">
        <f t="shared" si="21"/>
        <v>5.97</v>
      </c>
      <c r="N469" t="str">
        <f t="shared" si="22"/>
        <v>Arabica</v>
      </c>
      <c r="O469" t="str">
        <f t="shared" si="23"/>
        <v>Dark</v>
      </c>
      <c r="P469" t="str">
        <f>_xlfn.XLOOKUP(Table1[[#This Row],[Customer ID]],customers!$A$2:$A$1001,customers!$I$2:$I$1001,,0)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INDEX(products!$A$1:$G$49,MATCH(orders!$D470,products!$A$1:$A$49,0),MATCH(I$1,products!$A$1:$G$1,0))</f>
        <v>Exc</v>
      </c>
      <c r="J470" t="str">
        <f>INDEX(products!$A$1:$G$49,MATCH(orders!$D470,products!$A$1:$A$49,0),MATCH(J$1,products!$A$1:$G$1,0))</f>
        <v>M</v>
      </c>
      <c r="K470" s="6">
        <f>INDEX(products!$A$1:$G$49,MATCH(orders!$D470,products!$A$1:$A$49,0),MATCH(K$1,products!$A$1:$G$1,0))</f>
        <v>1</v>
      </c>
      <c r="L470" s="7">
        <f>INDEX(products!$A$1:$G$49,MATCH(orders!$D470,products!$A$1:$A$49,0),MATCH(L$1,products!$A$1:$G$1,0))</f>
        <v>13.75</v>
      </c>
      <c r="M470" s="7">
        <f t="shared" si="21"/>
        <v>41.25</v>
      </c>
      <c r="N470" t="str">
        <f t="shared" si="22"/>
        <v>Excelsa</v>
      </c>
      <c r="O470" t="str">
        <f t="shared" si="23"/>
        <v>Medium</v>
      </c>
      <c r="P470" t="str">
        <f>_xlfn.XLOOKUP(Table1[[#This Row],[Customer ID]],customers!$A$2:$A$1001,customers!$I$2:$I$1001,,0)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INDEX(products!$A$1:$G$49,MATCH(orders!$D471,products!$A$1:$A$49,0),MATCH(I$1,products!$A$1:$G$1,0))</f>
        <v>Exc</v>
      </c>
      <c r="J471" t="str">
        <f>INDEX(products!$A$1:$G$49,MATCH(orders!$D471,products!$A$1:$A$49,0),MATCH(J$1,products!$A$1:$G$1,0))</f>
        <v>L</v>
      </c>
      <c r="K471" s="6">
        <f>INDEX(products!$A$1:$G$49,MATCH(orders!$D471,products!$A$1:$A$49,0),MATCH(K$1,products!$A$1:$G$1,0))</f>
        <v>0.2</v>
      </c>
      <c r="L471" s="7">
        <f>INDEX(products!$A$1:$G$49,MATCH(orders!$D471,products!$A$1:$A$49,0),MATCH(L$1,products!$A$1:$G$1,0))</f>
        <v>4.4550000000000001</v>
      </c>
      <c r="M471" s="7">
        <f t="shared" si="21"/>
        <v>22.274999999999999</v>
      </c>
      <c r="N471" t="str">
        <f t="shared" si="22"/>
        <v>Excelsa</v>
      </c>
      <c r="O471" t="str">
        <f t="shared" si="23"/>
        <v>Light</v>
      </c>
      <c r="P471" t="str">
        <f>_xlfn.XLOOKUP(Table1[[#This Row],[Customer ID]],customers!$A$2:$A$1001,customers!$I$2:$I$1001,,0)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INDEX(products!$A$1:$G$49,MATCH(orders!$D472,products!$A$1:$A$49,0),MATCH(I$1,products!$A$1:$G$1,0))</f>
        <v>Ara</v>
      </c>
      <c r="J472" t="str">
        <f>INDEX(products!$A$1:$G$49,MATCH(orders!$D472,products!$A$1:$A$49,0),MATCH(J$1,products!$A$1:$G$1,0))</f>
        <v>M</v>
      </c>
      <c r="K472" s="6">
        <f>INDEX(products!$A$1:$G$49,MATCH(orders!$D472,products!$A$1:$A$49,0),MATCH(K$1,products!$A$1:$G$1,0))</f>
        <v>0.5</v>
      </c>
      <c r="L472" s="7">
        <f>INDEX(products!$A$1:$G$49,MATCH(orders!$D472,products!$A$1:$A$49,0),MATCH(L$1,products!$A$1:$G$1,0))</f>
        <v>6.75</v>
      </c>
      <c r="M472" s="7">
        <f t="shared" si="21"/>
        <v>6.75</v>
      </c>
      <c r="N472" t="str">
        <f t="shared" si="22"/>
        <v>Arabica</v>
      </c>
      <c r="O472" t="str">
        <f t="shared" si="23"/>
        <v>Medium</v>
      </c>
      <c r="P472" t="str">
        <f>_xlfn.XLOOKUP(Table1[[#This Row],[Customer ID]],customers!$A$2:$A$1001,customers!$I$2:$I$1001,,0)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INDEX(products!$A$1:$G$49,MATCH(orders!$D473,products!$A$1:$A$49,0),MATCH(I$1,products!$A$1:$G$1,0))</f>
        <v>Lib</v>
      </c>
      <c r="J473" t="str">
        <f>INDEX(products!$A$1:$G$49,MATCH(orders!$D473,products!$A$1:$A$49,0),MATCH(J$1,products!$A$1:$G$1,0))</f>
        <v>M</v>
      </c>
      <c r="K473" s="6">
        <f>INDEX(products!$A$1:$G$49,MATCH(orders!$D473,products!$A$1:$A$49,0),MATCH(K$1,products!$A$1:$G$1,0))</f>
        <v>2.5</v>
      </c>
      <c r="L473" s="7">
        <f>INDEX(products!$A$1:$G$49,MATCH(orders!$D473,products!$A$1:$A$49,0),MATCH(L$1,products!$A$1:$G$1,0))</f>
        <v>33.464999999999996</v>
      </c>
      <c r="M473" s="7">
        <f t="shared" si="21"/>
        <v>133.85999999999999</v>
      </c>
      <c r="N473" t="str">
        <f t="shared" si="22"/>
        <v>Liberica</v>
      </c>
      <c r="O473" t="str">
        <f t="shared" si="23"/>
        <v>Medium</v>
      </c>
      <c r="P473" t="str">
        <f>_xlfn.XLOOKUP(Table1[[#This Row],[Customer ID]],customers!$A$2:$A$1001,customers!$I$2:$I$1001,,0)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INDEX(products!$A$1:$G$49,MATCH(orders!$D474,products!$A$1:$A$49,0),MATCH(I$1,products!$A$1:$G$1,0))</f>
        <v>Ara</v>
      </c>
      <c r="J474" t="str">
        <f>INDEX(products!$A$1:$G$49,MATCH(orders!$D474,products!$A$1:$A$49,0),MATCH(J$1,products!$A$1:$G$1,0))</f>
        <v>D</v>
      </c>
      <c r="K474" s="6">
        <f>INDEX(products!$A$1:$G$49,MATCH(orders!$D474,products!$A$1:$A$49,0),MATCH(K$1,products!$A$1:$G$1,0))</f>
        <v>0.2</v>
      </c>
      <c r="L474" s="7">
        <f>INDEX(products!$A$1:$G$49,MATCH(orders!$D474,products!$A$1:$A$49,0),MATCH(L$1,products!$A$1:$G$1,0))</f>
        <v>2.9849999999999999</v>
      </c>
      <c r="M474" s="7">
        <f t="shared" si="21"/>
        <v>5.97</v>
      </c>
      <c r="N474" t="str">
        <f t="shared" si="22"/>
        <v>Arabica</v>
      </c>
      <c r="O474" t="str">
        <f t="shared" si="23"/>
        <v>Dark</v>
      </c>
      <c r="P474" t="str">
        <f>_xlfn.XLOOKUP(Table1[[#This Row],[Customer ID]],customers!$A$2:$A$1001,customers!$I$2:$I$1001,,0)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INDEX(products!$A$1:$G$49,MATCH(orders!$D475,products!$A$1:$A$49,0),MATCH(I$1,products!$A$1:$G$1,0))</f>
        <v>Ara</v>
      </c>
      <c r="J475" t="str">
        <f>INDEX(products!$A$1:$G$49,MATCH(orders!$D475,products!$A$1:$A$49,0),MATCH(J$1,products!$A$1:$G$1,0))</f>
        <v>L</v>
      </c>
      <c r="K475" s="6">
        <f>INDEX(products!$A$1:$G$49,MATCH(orders!$D475,products!$A$1:$A$49,0),MATCH(K$1,products!$A$1:$G$1,0))</f>
        <v>1</v>
      </c>
      <c r="L475" s="7">
        <f>INDEX(products!$A$1:$G$49,MATCH(orders!$D475,products!$A$1:$A$49,0),MATCH(L$1,products!$A$1:$G$1,0))</f>
        <v>12.95</v>
      </c>
      <c r="M475" s="7">
        <f t="shared" si="21"/>
        <v>25.9</v>
      </c>
      <c r="N475" t="str">
        <f t="shared" si="22"/>
        <v>Arabica</v>
      </c>
      <c r="O475" t="str">
        <f t="shared" si="23"/>
        <v>Light</v>
      </c>
      <c r="P475" t="str">
        <f>_xlfn.XLOOKUP(Table1[[#This Row],[Customer ID]],customers!$A$2:$A$1001,customers!$I$2:$I$1001,,0)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INDEX(products!$A$1:$G$49,MATCH(orders!$D476,products!$A$1:$A$49,0),MATCH(I$1,products!$A$1:$G$1,0))</f>
        <v>Exc</v>
      </c>
      <c r="J476" t="str">
        <f>INDEX(products!$A$1:$G$49,MATCH(orders!$D476,products!$A$1:$A$49,0),MATCH(J$1,products!$A$1:$G$1,0))</f>
        <v>M</v>
      </c>
      <c r="K476" s="6">
        <f>INDEX(products!$A$1:$G$49,MATCH(orders!$D476,products!$A$1:$A$49,0),MATCH(K$1,products!$A$1:$G$1,0))</f>
        <v>2.5</v>
      </c>
      <c r="L476" s="7">
        <f>INDEX(products!$A$1:$G$49,MATCH(orders!$D476,products!$A$1:$A$49,0),MATCH(L$1,products!$A$1:$G$1,0))</f>
        <v>31.624999999999996</v>
      </c>
      <c r="M476" s="7">
        <f t="shared" si="21"/>
        <v>31.624999999999996</v>
      </c>
      <c r="N476" t="str">
        <f t="shared" si="22"/>
        <v>Excelsa</v>
      </c>
      <c r="O476" t="str">
        <f t="shared" si="23"/>
        <v>Medium</v>
      </c>
      <c r="P476" t="str">
        <f>_xlfn.XLOOKUP(Table1[[#This Row],[Customer ID]],customers!$A$2:$A$1001,customers!$I$2:$I$1001,,0)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INDEX(products!$A$1:$G$49,MATCH(orders!$D477,products!$A$1:$A$49,0),MATCH(I$1,products!$A$1:$G$1,0))</f>
        <v>Lib</v>
      </c>
      <c r="J477" t="str">
        <f>INDEX(products!$A$1:$G$49,MATCH(orders!$D477,products!$A$1:$A$49,0),MATCH(J$1,products!$A$1:$G$1,0))</f>
        <v>M</v>
      </c>
      <c r="K477" s="6">
        <f>INDEX(products!$A$1:$G$49,MATCH(orders!$D477,products!$A$1:$A$49,0),MATCH(K$1,products!$A$1:$G$1,0))</f>
        <v>0.2</v>
      </c>
      <c r="L477" s="7">
        <f>INDEX(products!$A$1:$G$49,MATCH(orders!$D477,products!$A$1:$A$49,0),MATCH(L$1,products!$A$1:$G$1,0))</f>
        <v>4.3650000000000002</v>
      </c>
      <c r="M477" s="7">
        <f t="shared" si="21"/>
        <v>8.73</v>
      </c>
      <c r="N477" t="str">
        <f t="shared" si="22"/>
        <v>Liberica</v>
      </c>
      <c r="O477" t="str">
        <f t="shared" si="23"/>
        <v>Medium</v>
      </c>
      <c r="P477" t="str">
        <f>_xlfn.XLOOKUP(Table1[[#This Row],[Customer ID]],customers!$A$2:$A$1001,customers!$I$2:$I$1001,,0)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INDEX(products!$A$1:$G$49,MATCH(orders!$D478,products!$A$1:$A$49,0),MATCH(I$1,products!$A$1:$G$1,0))</f>
        <v>Exc</v>
      </c>
      <c r="J478" t="str">
        <f>INDEX(products!$A$1:$G$49,MATCH(orders!$D478,products!$A$1:$A$49,0),MATCH(J$1,products!$A$1:$G$1,0))</f>
        <v>L</v>
      </c>
      <c r="K478" s="6">
        <f>INDEX(products!$A$1:$G$49,MATCH(orders!$D478,products!$A$1:$A$49,0),MATCH(K$1,products!$A$1:$G$1,0))</f>
        <v>0.2</v>
      </c>
      <c r="L478" s="7">
        <f>INDEX(products!$A$1:$G$49,MATCH(orders!$D478,products!$A$1:$A$49,0),MATCH(L$1,products!$A$1:$G$1,0))</f>
        <v>4.4550000000000001</v>
      </c>
      <c r="M478" s="7">
        <f t="shared" si="21"/>
        <v>26.73</v>
      </c>
      <c r="N478" t="str">
        <f t="shared" si="22"/>
        <v>Excelsa</v>
      </c>
      <c r="O478" t="str">
        <f t="shared" si="23"/>
        <v>Light</v>
      </c>
      <c r="P478" t="str">
        <f>_xlfn.XLOOKUP(Table1[[#This Row],[Customer ID]],customers!$A$2:$A$1001,customers!$I$2:$I$1001,,0)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INDEX(products!$A$1:$G$49,MATCH(orders!$D479,products!$A$1:$A$49,0),MATCH(I$1,products!$A$1:$G$1,0))</f>
        <v>Lib</v>
      </c>
      <c r="J479" t="str">
        <f>INDEX(products!$A$1:$G$49,MATCH(orders!$D479,products!$A$1:$A$49,0),MATCH(J$1,products!$A$1:$G$1,0))</f>
        <v>M</v>
      </c>
      <c r="K479" s="6">
        <f>INDEX(products!$A$1:$G$49,MATCH(orders!$D479,products!$A$1:$A$49,0),MATCH(K$1,products!$A$1:$G$1,0))</f>
        <v>0.2</v>
      </c>
      <c r="L479" s="7">
        <f>INDEX(products!$A$1:$G$49,MATCH(orders!$D479,products!$A$1:$A$49,0),MATCH(L$1,products!$A$1:$G$1,0))</f>
        <v>4.3650000000000002</v>
      </c>
      <c r="M479" s="7">
        <f t="shared" si="21"/>
        <v>26.19</v>
      </c>
      <c r="N479" t="str">
        <f t="shared" si="22"/>
        <v>Liberica</v>
      </c>
      <c r="O479" t="str">
        <f t="shared" si="23"/>
        <v>Medium</v>
      </c>
      <c r="P479" t="str">
        <f>_xlfn.XLOOKUP(Table1[[#This Row],[Customer ID]],customers!$A$2:$A$1001,customers!$I$2:$I$1001,,0)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INDEX(products!$A$1:$G$49,MATCH(orders!$D480,products!$A$1:$A$49,0),MATCH(I$1,products!$A$1:$G$1,0))</f>
        <v>Rob</v>
      </c>
      <c r="J480" t="str">
        <f>INDEX(products!$A$1:$G$49,MATCH(orders!$D480,products!$A$1:$A$49,0),MATCH(J$1,products!$A$1:$G$1,0))</f>
        <v>D</v>
      </c>
      <c r="K480" s="6">
        <f>INDEX(products!$A$1:$G$49,MATCH(orders!$D480,products!$A$1:$A$49,0),MATCH(K$1,products!$A$1:$G$1,0))</f>
        <v>1</v>
      </c>
      <c r="L480" s="7">
        <f>INDEX(products!$A$1:$G$49,MATCH(orders!$D480,products!$A$1:$A$49,0),MATCH(L$1,products!$A$1:$G$1,0))</f>
        <v>8.9499999999999993</v>
      </c>
      <c r="M480" s="7">
        <f t="shared" si="21"/>
        <v>53.699999999999996</v>
      </c>
      <c r="N480" t="str">
        <f t="shared" si="22"/>
        <v>Robusta</v>
      </c>
      <c r="O480" t="str">
        <f t="shared" si="23"/>
        <v>Dark</v>
      </c>
      <c r="P480" t="str">
        <f>_xlfn.XLOOKUP(Table1[[#This Row],[Customer ID]],customers!$A$2:$A$1001,customers!$I$2:$I$1001,,0)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INDEX(products!$A$1:$G$49,MATCH(orders!$D481,products!$A$1:$A$49,0),MATCH(I$1,products!$A$1:$G$1,0))</f>
        <v>Exc</v>
      </c>
      <c r="J481" t="str">
        <f>INDEX(products!$A$1:$G$49,MATCH(orders!$D481,products!$A$1:$A$49,0),MATCH(J$1,products!$A$1:$G$1,0))</f>
        <v>M</v>
      </c>
      <c r="K481" s="6">
        <f>INDEX(products!$A$1:$G$49,MATCH(orders!$D481,products!$A$1:$A$49,0),MATCH(K$1,products!$A$1:$G$1,0))</f>
        <v>2.5</v>
      </c>
      <c r="L481" s="7">
        <f>INDEX(products!$A$1:$G$49,MATCH(orders!$D481,products!$A$1:$A$49,0),MATCH(L$1,products!$A$1:$G$1,0))</f>
        <v>31.624999999999996</v>
      </c>
      <c r="M481" s="7">
        <f t="shared" si="21"/>
        <v>126.49999999999999</v>
      </c>
      <c r="N481" t="str">
        <f t="shared" si="22"/>
        <v>Excelsa</v>
      </c>
      <c r="O481" t="str">
        <f t="shared" si="23"/>
        <v>Medium</v>
      </c>
      <c r="P481" t="str">
        <f>_xlfn.XLOOKUP(Table1[[#This Row],[Customer ID]],customers!$A$2:$A$1001,customers!$I$2:$I$1001,,0)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INDEX(products!$A$1:$G$49,MATCH(orders!$D482,products!$A$1:$A$49,0),MATCH(I$1,products!$A$1:$G$1,0))</f>
        <v>Exc</v>
      </c>
      <c r="J482" t="str">
        <f>INDEX(products!$A$1:$G$49,MATCH(orders!$D482,products!$A$1:$A$49,0),MATCH(J$1,products!$A$1:$G$1,0))</f>
        <v>M</v>
      </c>
      <c r="K482" s="6">
        <f>INDEX(products!$A$1:$G$49,MATCH(orders!$D482,products!$A$1:$A$49,0),MATCH(K$1,products!$A$1:$G$1,0))</f>
        <v>0.2</v>
      </c>
      <c r="L482" s="7">
        <f>INDEX(products!$A$1:$G$49,MATCH(orders!$D482,products!$A$1:$A$49,0),MATCH(L$1,products!$A$1:$G$1,0))</f>
        <v>4.125</v>
      </c>
      <c r="M482" s="7">
        <f t="shared" si="21"/>
        <v>4.125</v>
      </c>
      <c r="N482" t="str">
        <f t="shared" si="22"/>
        <v>Excelsa</v>
      </c>
      <c r="O482" t="str">
        <f t="shared" si="23"/>
        <v>Medium</v>
      </c>
      <c r="P482" t="str">
        <f>_xlfn.XLOOKUP(Table1[[#This Row],[Customer ID]],customers!$A$2:$A$1001,customers!$I$2:$I$1001,,0)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INDEX(products!$A$1:$G$49,MATCH(orders!$D483,products!$A$1:$A$49,0),MATCH(I$1,products!$A$1:$G$1,0))</f>
        <v>Rob</v>
      </c>
      <c r="J483" t="str">
        <f>INDEX(products!$A$1:$G$49,MATCH(orders!$D483,products!$A$1:$A$49,0),MATCH(J$1,products!$A$1:$G$1,0))</f>
        <v>L</v>
      </c>
      <c r="K483" s="6">
        <f>INDEX(products!$A$1:$G$49,MATCH(orders!$D483,products!$A$1:$A$49,0),MATCH(K$1,products!$A$1:$G$1,0))</f>
        <v>1</v>
      </c>
      <c r="L483" s="7">
        <f>INDEX(products!$A$1:$G$49,MATCH(orders!$D483,products!$A$1:$A$49,0),MATCH(L$1,products!$A$1:$G$1,0))</f>
        <v>11.95</v>
      </c>
      <c r="M483" s="7">
        <f t="shared" si="21"/>
        <v>23.9</v>
      </c>
      <c r="N483" t="str">
        <f t="shared" si="22"/>
        <v>Robusta</v>
      </c>
      <c r="O483" t="str">
        <f t="shared" si="23"/>
        <v>Light</v>
      </c>
      <c r="P483" t="str">
        <f>_xlfn.XLOOKUP(Table1[[#This Row],[Customer ID]],customers!$A$2:$A$1001,customers!$I$2:$I$1001,,0)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INDEX(products!$A$1:$G$49,MATCH(orders!$D484,products!$A$1:$A$49,0),MATCH(I$1,products!$A$1:$G$1,0))</f>
        <v>Exc</v>
      </c>
      <c r="J484" t="str">
        <f>INDEX(products!$A$1:$G$49,MATCH(orders!$D484,products!$A$1:$A$49,0),MATCH(J$1,products!$A$1:$G$1,0))</f>
        <v>D</v>
      </c>
      <c r="K484" s="6">
        <f>INDEX(products!$A$1:$G$49,MATCH(orders!$D484,products!$A$1:$A$49,0),MATCH(K$1,products!$A$1:$G$1,0))</f>
        <v>2.5</v>
      </c>
      <c r="L484" s="7">
        <f>INDEX(products!$A$1:$G$49,MATCH(orders!$D484,products!$A$1:$A$49,0),MATCH(L$1,products!$A$1:$G$1,0))</f>
        <v>27.945</v>
      </c>
      <c r="M484" s="7">
        <f t="shared" si="21"/>
        <v>139.72499999999999</v>
      </c>
      <c r="N484" t="str">
        <f t="shared" si="22"/>
        <v>Excelsa</v>
      </c>
      <c r="O484" t="str">
        <f t="shared" si="23"/>
        <v>Dark</v>
      </c>
      <c r="P484" t="str">
        <f>_xlfn.XLOOKUP(Table1[[#This Row],[Customer ID]],customers!$A$2:$A$1001,customers!$I$2:$I$1001,,0)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INDEX(products!$A$1:$G$49,MATCH(orders!$D485,products!$A$1:$A$49,0),MATCH(I$1,products!$A$1:$G$1,0))</f>
        <v>Lib</v>
      </c>
      <c r="J485" t="str">
        <f>INDEX(products!$A$1:$G$49,MATCH(orders!$D485,products!$A$1:$A$49,0),MATCH(J$1,products!$A$1:$G$1,0))</f>
        <v>D</v>
      </c>
      <c r="K485" s="6">
        <f>INDEX(products!$A$1:$G$49,MATCH(orders!$D485,products!$A$1:$A$49,0),MATCH(K$1,products!$A$1:$G$1,0))</f>
        <v>2.5</v>
      </c>
      <c r="L485" s="7">
        <f>INDEX(products!$A$1:$G$49,MATCH(orders!$D485,products!$A$1:$A$49,0),MATCH(L$1,products!$A$1:$G$1,0))</f>
        <v>29.784999999999997</v>
      </c>
      <c r="M485" s="7">
        <f t="shared" si="21"/>
        <v>59.569999999999993</v>
      </c>
      <c r="N485" t="str">
        <f t="shared" si="22"/>
        <v>Liberica</v>
      </c>
      <c r="O485" t="str">
        <f t="shared" si="23"/>
        <v>Dark</v>
      </c>
      <c r="P485" t="str">
        <f>_xlfn.XLOOKUP(Table1[[#This Row],[Customer ID]],customers!$A$2:$A$1001,customers!$I$2:$I$1001,,0)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INDEX(products!$A$1:$G$49,MATCH(orders!$D486,products!$A$1:$A$49,0),MATCH(I$1,products!$A$1:$G$1,0))</f>
        <v>Lib</v>
      </c>
      <c r="J486" t="str">
        <f>INDEX(products!$A$1:$G$49,MATCH(orders!$D486,products!$A$1:$A$49,0),MATCH(J$1,products!$A$1:$G$1,0))</f>
        <v>L</v>
      </c>
      <c r="K486" s="6">
        <f>INDEX(products!$A$1:$G$49,MATCH(orders!$D486,products!$A$1:$A$49,0),MATCH(K$1,products!$A$1:$G$1,0))</f>
        <v>0.5</v>
      </c>
      <c r="L486" s="7">
        <f>INDEX(products!$A$1:$G$49,MATCH(orders!$D486,products!$A$1:$A$49,0),MATCH(L$1,products!$A$1:$G$1,0))</f>
        <v>9.51</v>
      </c>
      <c r="M486" s="7">
        <f t="shared" si="21"/>
        <v>57.06</v>
      </c>
      <c r="N486" t="str">
        <f t="shared" si="22"/>
        <v>Liberica</v>
      </c>
      <c r="O486" t="str">
        <f t="shared" si="23"/>
        <v>Light</v>
      </c>
      <c r="P486" t="str">
        <f>_xlfn.XLOOKUP(Table1[[#This Row],[Customer ID]],customers!$A$2:$A$1001,customers!$I$2:$I$1001,,0)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INDEX(products!$A$1:$G$49,MATCH(orders!$D487,products!$A$1:$A$49,0),MATCH(I$1,products!$A$1:$G$1,0))</f>
        <v>Rob</v>
      </c>
      <c r="J487" t="str">
        <f>INDEX(products!$A$1:$G$49,MATCH(orders!$D487,products!$A$1:$A$49,0),MATCH(J$1,products!$A$1:$G$1,0))</f>
        <v>L</v>
      </c>
      <c r="K487" s="6">
        <f>INDEX(products!$A$1:$G$49,MATCH(orders!$D487,products!$A$1:$A$49,0),MATCH(K$1,products!$A$1:$G$1,0))</f>
        <v>0.2</v>
      </c>
      <c r="L487" s="7">
        <f>INDEX(products!$A$1:$G$49,MATCH(orders!$D487,products!$A$1:$A$49,0),MATCH(L$1,products!$A$1:$G$1,0))</f>
        <v>3.5849999999999995</v>
      </c>
      <c r="M487" s="7">
        <f t="shared" si="21"/>
        <v>21.509999999999998</v>
      </c>
      <c r="N487" t="str">
        <f t="shared" si="22"/>
        <v>Robusta</v>
      </c>
      <c r="O487" t="str">
        <f t="shared" si="23"/>
        <v>Light</v>
      </c>
      <c r="P487" t="str">
        <f>_xlfn.XLOOKUP(Table1[[#This Row],[Customer ID]],customers!$A$2:$A$1001,customers!$I$2:$I$1001,,0)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INDEX(products!$A$1:$G$49,MATCH(orders!$D488,products!$A$1:$A$49,0),MATCH(I$1,products!$A$1:$G$1,0))</f>
        <v>Lib</v>
      </c>
      <c r="J488" t="str">
        <f>INDEX(products!$A$1:$G$49,MATCH(orders!$D488,products!$A$1:$A$49,0),MATCH(J$1,products!$A$1:$G$1,0))</f>
        <v>M</v>
      </c>
      <c r="K488" s="6">
        <f>INDEX(products!$A$1:$G$49,MATCH(orders!$D488,products!$A$1:$A$49,0),MATCH(K$1,products!$A$1:$G$1,0))</f>
        <v>0.5</v>
      </c>
      <c r="L488" s="7">
        <f>INDEX(products!$A$1:$G$49,MATCH(orders!$D488,products!$A$1:$A$49,0),MATCH(L$1,products!$A$1:$G$1,0))</f>
        <v>8.73</v>
      </c>
      <c r="M488" s="7">
        <f t="shared" si="21"/>
        <v>52.38</v>
      </c>
      <c r="N488" t="str">
        <f t="shared" si="22"/>
        <v>Liberica</v>
      </c>
      <c r="O488" t="str">
        <f t="shared" si="23"/>
        <v>Medium</v>
      </c>
      <c r="P488" t="str">
        <f>_xlfn.XLOOKUP(Table1[[#This Row],[Customer ID]],customers!$A$2:$A$1001,customers!$I$2:$I$1001,,0)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INDEX(products!$A$1:$G$49,MATCH(orders!$D489,products!$A$1:$A$49,0),MATCH(I$1,products!$A$1:$G$1,0))</f>
        <v>Exc</v>
      </c>
      <c r="J489" t="str">
        <f>INDEX(products!$A$1:$G$49,MATCH(orders!$D489,products!$A$1:$A$49,0),MATCH(J$1,products!$A$1:$G$1,0))</f>
        <v>D</v>
      </c>
      <c r="K489" s="6">
        <f>INDEX(products!$A$1:$G$49,MATCH(orders!$D489,products!$A$1:$A$49,0),MATCH(K$1,products!$A$1:$G$1,0))</f>
        <v>1</v>
      </c>
      <c r="L489" s="7">
        <f>INDEX(products!$A$1:$G$49,MATCH(orders!$D489,products!$A$1:$A$49,0),MATCH(L$1,products!$A$1:$G$1,0))</f>
        <v>12.15</v>
      </c>
      <c r="M489" s="7">
        <f t="shared" si="21"/>
        <v>72.900000000000006</v>
      </c>
      <c r="N489" t="str">
        <f t="shared" si="22"/>
        <v>Excelsa</v>
      </c>
      <c r="O489" t="str">
        <f t="shared" si="23"/>
        <v>Dark</v>
      </c>
      <c r="P489" t="str">
        <f>_xlfn.XLOOKUP(Table1[[#This Row],[Customer ID]],customers!$A$2:$A$1001,customers!$I$2:$I$1001,,0)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INDEX(products!$A$1:$G$49,MATCH(orders!$D490,products!$A$1:$A$49,0),MATCH(I$1,products!$A$1:$G$1,0))</f>
        <v>Rob</v>
      </c>
      <c r="J490" t="str">
        <f>INDEX(products!$A$1:$G$49,MATCH(orders!$D490,products!$A$1:$A$49,0),MATCH(J$1,products!$A$1:$G$1,0))</f>
        <v>M</v>
      </c>
      <c r="K490" s="6">
        <f>INDEX(products!$A$1:$G$49,MATCH(orders!$D490,products!$A$1:$A$49,0),MATCH(K$1,products!$A$1:$G$1,0))</f>
        <v>0.2</v>
      </c>
      <c r="L490" s="7">
        <f>INDEX(products!$A$1:$G$49,MATCH(orders!$D490,products!$A$1:$A$49,0),MATCH(L$1,products!$A$1:$G$1,0))</f>
        <v>2.9849999999999999</v>
      </c>
      <c r="M490" s="7">
        <f t="shared" si="21"/>
        <v>14.924999999999999</v>
      </c>
      <c r="N490" t="str">
        <f t="shared" si="22"/>
        <v>Robusta</v>
      </c>
      <c r="O490" t="str">
        <f t="shared" si="23"/>
        <v>Medium</v>
      </c>
      <c r="P490" t="str">
        <f>_xlfn.XLOOKUP(Table1[[#This Row],[Customer ID]],customers!$A$2:$A$1001,customers!$I$2:$I$1001,,0)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INDEX(products!$A$1:$G$49,MATCH(orders!$D491,products!$A$1:$A$49,0),MATCH(I$1,products!$A$1:$G$1,0))</f>
        <v>Lib</v>
      </c>
      <c r="J491" t="str">
        <f>INDEX(products!$A$1:$G$49,MATCH(orders!$D491,products!$A$1:$A$49,0),MATCH(J$1,products!$A$1:$G$1,0))</f>
        <v>L</v>
      </c>
      <c r="K491" s="6">
        <f>INDEX(products!$A$1:$G$49,MATCH(orders!$D491,products!$A$1:$A$49,0),MATCH(K$1,products!$A$1:$G$1,0))</f>
        <v>1</v>
      </c>
      <c r="L491" s="7">
        <f>INDEX(products!$A$1:$G$49,MATCH(orders!$D491,products!$A$1:$A$49,0),MATCH(L$1,products!$A$1:$G$1,0))</f>
        <v>15.85</v>
      </c>
      <c r="M491" s="7">
        <f t="shared" si="21"/>
        <v>95.1</v>
      </c>
      <c r="N491" t="str">
        <f t="shared" si="22"/>
        <v>Liberica</v>
      </c>
      <c r="O491" t="str">
        <f t="shared" si="23"/>
        <v>Light</v>
      </c>
      <c r="P491" t="str">
        <f>_xlfn.XLOOKUP(Table1[[#This Row],[Customer ID]],customers!$A$2:$A$1001,customers!$I$2:$I$1001,,0)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INDEX(products!$A$1:$G$49,MATCH(orders!$D492,products!$A$1:$A$49,0),MATCH(I$1,products!$A$1:$G$1,0))</f>
        <v>Lib</v>
      </c>
      <c r="J492" t="str">
        <f>INDEX(products!$A$1:$G$49,MATCH(orders!$D492,products!$A$1:$A$49,0),MATCH(J$1,products!$A$1:$G$1,0))</f>
        <v>D</v>
      </c>
      <c r="K492" s="6">
        <f>INDEX(products!$A$1:$G$49,MATCH(orders!$D492,products!$A$1:$A$49,0),MATCH(K$1,products!$A$1:$G$1,0))</f>
        <v>0.5</v>
      </c>
      <c r="L492" s="7">
        <f>INDEX(products!$A$1:$G$49,MATCH(orders!$D492,products!$A$1:$A$49,0),MATCH(L$1,products!$A$1:$G$1,0))</f>
        <v>7.77</v>
      </c>
      <c r="M492" s="7">
        <f t="shared" si="21"/>
        <v>15.54</v>
      </c>
      <c r="N492" t="str">
        <f t="shared" si="22"/>
        <v>Liberica</v>
      </c>
      <c r="O492" t="str">
        <f t="shared" si="23"/>
        <v>Dark</v>
      </c>
      <c r="P492" t="str">
        <f>_xlfn.XLOOKUP(Table1[[#This Row],[Customer ID]],customers!$A$2:$A$1001,customers!$I$2:$I$1001,,0)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INDEX(products!$A$1:$G$49,MATCH(orders!$D493,products!$A$1:$A$49,0),MATCH(I$1,products!$A$1:$G$1,0))</f>
        <v>Lib</v>
      </c>
      <c r="J493" t="str">
        <f>INDEX(products!$A$1:$G$49,MATCH(orders!$D493,products!$A$1:$A$49,0),MATCH(J$1,products!$A$1:$G$1,0))</f>
        <v>D</v>
      </c>
      <c r="K493" s="6">
        <f>INDEX(products!$A$1:$G$49,MATCH(orders!$D493,products!$A$1:$A$49,0),MATCH(K$1,products!$A$1:$G$1,0))</f>
        <v>0.2</v>
      </c>
      <c r="L493" s="7">
        <f>INDEX(products!$A$1:$G$49,MATCH(orders!$D493,products!$A$1:$A$49,0),MATCH(L$1,products!$A$1:$G$1,0))</f>
        <v>3.8849999999999998</v>
      </c>
      <c r="M493" s="7">
        <f t="shared" si="21"/>
        <v>23.31</v>
      </c>
      <c r="N493" t="str">
        <f t="shared" si="22"/>
        <v>Liberica</v>
      </c>
      <c r="O493" t="str">
        <f t="shared" si="23"/>
        <v>Dark</v>
      </c>
      <c r="P493" t="str">
        <f>_xlfn.XLOOKUP(Table1[[#This Row],[Customer ID]],customers!$A$2:$A$1001,customers!$I$2:$I$1001,,0)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INDEX(products!$A$1:$G$49,MATCH(orders!$D494,products!$A$1:$A$49,0),MATCH(I$1,products!$A$1:$G$1,0))</f>
        <v>Exc</v>
      </c>
      <c r="J494" t="str">
        <f>INDEX(products!$A$1:$G$49,MATCH(orders!$D494,products!$A$1:$A$49,0),MATCH(J$1,products!$A$1:$G$1,0))</f>
        <v>M</v>
      </c>
      <c r="K494" s="6">
        <f>INDEX(products!$A$1:$G$49,MATCH(orders!$D494,products!$A$1:$A$49,0),MATCH(K$1,products!$A$1:$G$1,0))</f>
        <v>0.2</v>
      </c>
      <c r="L494" s="7">
        <f>INDEX(products!$A$1:$G$49,MATCH(orders!$D494,products!$A$1:$A$49,0),MATCH(L$1,products!$A$1:$G$1,0))</f>
        <v>4.125</v>
      </c>
      <c r="M494" s="7">
        <f t="shared" si="21"/>
        <v>4.125</v>
      </c>
      <c r="N494" t="str">
        <f t="shared" si="22"/>
        <v>Excelsa</v>
      </c>
      <c r="O494" t="str">
        <f t="shared" si="23"/>
        <v>Medium</v>
      </c>
      <c r="P494" t="str">
        <f>_xlfn.XLOOKUP(Table1[[#This Row],[Customer ID]],customers!$A$2:$A$1001,customers!$I$2:$I$1001,,0)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INDEX(products!$A$1:$G$49,MATCH(orders!$D495,products!$A$1:$A$49,0),MATCH(I$1,products!$A$1:$G$1,0))</f>
        <v>Rob</v>
      </c>
      <c r="J495" t="str">
        <f>INDEX(products!$A$1:$G$49,MATCH(orders!$D495,products!$A$1:$A$49,0),MATCH(J$1,products!$A$1:$G$1,0))</f>
        <v>M</v>
      </c>
      <c r="K495" s="6">
        <f>INDEX(products!$A$1:$G$49,MATCH(orders!$D495,products!$A$1:$A$49,0),MATCH(K$1,products!$A$1:$G$1,0))</f>
        <v>0.5</v>
      </c>
      <c r="L495" s="7">
        <f>INDEX(products!$A$1:$G$49,MATCH(orders!$D495,products!$A$1:$A$49,0),MATCH(L$1,products!$A$1:$G$1,0))</f>
        <v>5.97</v>
      </c>
      <c r="M495" s="7">
        <f t="shared" si="21"/>
        <v>35.82</v>
      </c>
      <c r="N495" t="str">
        <f t="shared" si="22"/>
        <v>Robusta</v>
      </c>
      <c r="O495" t="str">
        <f t="shared" si="23"/>
        <v>Medium</v>
      </c>
      <c r="P495" t="str">
        <f>_xlfn.XLOOKUP(Table1[[#This Row],[Customer ID]],customers!$A$2:$A$1001,customers!$I$2:$I$1001,,0)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INDEX(products!$A$1:$G$49,MATCH(orders!$D496,products!$A$1:$A$49,0),MATCH(I$1,products!$A$1:$G$1,0))</f>
        <v>Lib</v>
      </c>
      <c r="J496" t="str">
        <f>INDEX(products!$A$1:$G$49,MATCH(orders!$D496,products!$A$1:$A$49,0),MATCH(J$1,products!$A$1:$G$1,0))</f>
        <v>L</v>
      </c>
      <c r="K496" s="6">
        <f>INDEX(products!$A$1:$G$49,MATCH(orders!$D496,products!$A$1:$A$49,0),MATCH(K$1,products!$A$1:$G$1,0))</f>
        <v>1</v>
      </c>
      <c r="L496" s="7">
        <f>INDEX(products!$A$1:$G$49,MATCH(orders!$D496,products!$A$1:$A$49,0),MATCH(L$1,products!$A$1:$G$1,0))</f>
        <v>15.85</v>
      </c>
      <c r="M496" s="7">
        <f t="shared" si="21"/>
        <v>31.7</v>
      </c>
      <c r="N496" t="str">
        <f t="shared" si="22"/>
        <v>Liberica</v>
      </c>
      <c r="O496" t="str">
        <f t="shared" si="23"/>
        <v>Light</v>
      </c>
      <c r="P496" t="str">
        <f>_xlfn.XLOOKUP(Table1[[#This Row],[Customer ID]],customers!$A$2:$A$1001,customers!$I$2:$I$1001,,0)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INDEX(products!$A$1:$G$49,MATCH(orders!$D497,products!$A$1:$A$49,0),MATCH(I$1,products!$A$1:$G$1,0))</f>
        <v>Lib</v>
      </c>
      <c r="J497" t="str">
        <f>INDEX(products!$A$1:$G$49,MATCH(orders!$D497,products!$A$1:$A$49,0),MATCH(J$1,products!$A$1:$G$1,0))</f>
        <v>L</v>
      </c>
      <c r="K497" s="6">
        <f>INDEX(products!$A$1:$G$49,MATCH(orders!$D497,products!$A$1:$A$49,0),MATCH(K$1,products!$A$1:$G$1,0))</f>
        <v>1</v>
      </c>
      <c r="L497" s="7">
        <f>INDEX(products!$A$1:$G$49,MATCH(orders!$D497,products!$A$1:$A$49,0),MATCH(L$1,products!$A$1:$G$1,0))</f>
        <v>15.85</v>
      </c>
      <c r="M497" s="7">
        <f t="shared" si="21"/>
        <v>79.25</v>
      </c>
      <c r="N497" t="str">
        <f t="shared" si="22"/>
        <v>Liberica</v>
      </c>
      <c r="O497" t="str">
        <f t="shared" si="23"/>
        <v>Light</v>
      </c>
      <c r="P497" t="str">
        <f>_xlfn.XLOOKUP(Table1[[#This Row],[Customer ID]],customers!$A$2:$A$1001,customers!$I$2:$I$1001,,0)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INDEX(products!$A$1:$G$49,MATCH(orders!$D498,products!$A$1:$A$49,0),MATCH(I$1,products!$A$1:$G$1,0))</f>
        <v>Exc</v>
      </c>
      <c r="J498" t="str">
        <f>INDEX(products!$A$1:$G$49,MATCH(orders!$D498,products!$A$1:$A$49,0),MATCH(J$1,products!$A$1:$G$1,0))</f>
        <v>D</v>
      </c>
      <c r="K498" s="6">
        <f>INDEX(products!$A$1:$G$49,MATCH(orders!$D498,products!$A$1:$A$49,0),MATCH(K$1,products!$A$1:$G$1,0))</f>
        <v>0.2</v>
      </c>
      <c r="L498" s="7">
        <f>INDEX(products!$A$1:$G$49,MATCH(orders!$D498,products!$A$1:$A$49,0),MATCH(L$1,products!$A$1:$G$1,0))</f>
        <v>3.645</v>
      </c>
      <c r="M498" s="7">
        <f t="shared" si="21"/>
        <v>10.935</v>
      </c>
      <c r="N498" t="str">
        <f t="shared" si="22"/>
        <v>Excelsa</v>
      </c>
      <c r="O498" t="str">
        <f t="shared" si="23"/>
        <v>Dark</v>
      </c>
      <c r="P498" t="str">
        <f>_xlfn.XLOOKUP(Table1[[#This Row],[Customer ID]],customers!$A$2:$A$1001,customers!$I$2:$I$1001,,0)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INDEX(products!$A$1:$G$49,MATCH(orders!$D499,products!$A$1:$A$49,0),MATCH(I$1,products!$A$1:$G$1,0))</f>
        <v>Ara</v>
      </c>
      <c r="J499" t="str">
        <f>INDEX(products!$A$1:$G$49,MATCH(orders!$D499,products!$A$1:$A$49,0),MATCH(J$1,products!$A$1:$G$1,0))</f>
        <v>D</v>
      </c>
      <c r="K499" s="6">
        <f>INDEX(products!$A$1:$G$49,MATCH(orders!$D499,products!$A$1:$A$49,0),MATCH(K$1,products!$A$1:$G$1,0))</f>
        <v>1</v>
      </c>
      <c r="L499" s="7">
        <f>INDEX(products!$A$1:$G$49,MATCH(orders!$D499,products!$A$1:$A$49,0),MATCH(L$1,products!$A$1:$G$1,0))</f>
        <v>9.9499999999999993</v>
      </c>
      <c r="M499" s="7">
        <f t="shared" si="21"/>
        <v>39.799999999999997</v>
      </c>
      <c r="N499" t="str">
        <f t="shared" si="22"/>
        <v>Arabica</v>
      </c>
      <c r="O499" t="str">
        <f t="shared" si="23"/>
        <v>Dark</v>
      </c>
      <c r="P499" t="str">
        <f>_xlfn.XLOOKUP(Table1[[#This Row],[Customer ID]],customers!$A$2:$A$1001,customers!$I$2:$I$1001,,0)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INDEX(products!$A$1:$G$49,MATCH(orders!$D500,products!$A$1:$A$49,0),MATCH(I$1,products!$A$1:$G$1,0))</f>
        <v>Rob</v>
      </c>
      <c r="J500" t="str">
        <f>INDEX(products!$A$1:$G$49,MATCH(orders!$D500,products!$A$1:$A$49,0),MATCH(J$1,products!$A$1:$G$1,0))</f>
        <v>M</v>
      </c>
      <c r="K500" s="6">
        <f>INDEX(products!$A$1:$G$49,MATCH(orders!$D500,products!$A$1:$A$49,0),MATCH(K$1,products!$A$1:$G$1,0))</f>
        <v>1</v>
      </c>
      <c r="L500" s="7">
        <f>INDEX(products!$A$1:$G$49,MATCH(orders!$D500,products!$A$1:$A$49,0),MATCH(L$1,products!$A$1:$G$1,0))</f>
        <v>9.9499999999999993</v>
      </c>
      <c r="M500" s="7">
        <f t="shared" si="21"/>
        <v>49.75</v>
      </c>
      <c r="N500" t="str">
        <f t="shared" si="22"/>
        <v>Robusta</v>
      </c>
      <c r="O500" t="str">
        <f t="shared" si="23"/>
        <v>Medium</v>
      </c>
      <c r="P500" t="str">
        <f>_xlfn.XLOOKUP(Table1[[#This Row],[Customer ID]],customers!$A$2:$A$1001,customers!$I$2:$I$1001,,0)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INDEX(products!$A$1:$G$49,MATCH(orders!$D501,products!$A$1:$A$49,0),MATCH(I$1,products!$A$1:$G$1,0))</f>
        <v>Rob</v>
      </c>
      <c r="J501" t="str">
        <f>INDEX(products!$A$1:$G$49,MATCH(orders!$D501,products!$A$1:$A$49,0),MATCH(J$1,products!$A$1:$G$1,0))</f>
        <v>D</v>
      </c>
      <c r="K501" s="6">
        <f>INDEX(products!$A$1:$G$49,MATCH(orders!$D501,products!$A$1:$A$49,0),MATCH(K$1,products!$A$1:$G$1,0))</f>
        <v>0.2</v>
      </c>
      <c r="L501" s="7">
        <f>INDEX(products!$A$1:$G$49,MATCH(orders!$D501,products!$A$1:$A$49,0),MATCH(L$1,products!$A$1:$G$1,0))</f>
        <v>2.6849999999999996</v>
      </c>
      <c r="M501" s="7">
        <f t="shared" si="21"/>
        <v>8.0549999999999997</v>
      </c>
      <c r="N501" t="str">
        <f t="shared" si="22"/>
        <v>Robusta</v>
      </c>
      <c r="O501" t="str">
        <f t="shared" si="23"/>
        <v>Dark</v>
      </c>
      <c r="P501" t="str">
        <f>_xlfn.XLOOKUP(Table1[[#This Row],[Customer ID]],customers!$A$2:$A$1001,customers!$I$2:$I$1001,,0)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INDEX(products!$A$1:$G$49,MATCH(orders!$D502,products!$A$1:$A$49,0),MATCH(I$1,products!$A$1:$G$1,0))</f>
        <v>Rob</v>
      </c>
      <c r="J502" t="str">
        <f>INDEX(products!$A$1:$G$49,MATCH(orders!$D502,products!$A$1:$A$49,0),MATCH(J$1,products!$A$1:$G$1,0))</f>
        <v>L</v>
      </c>
      <c r="K502" s="6">
        <f>INDEX(products!$A$1:$G$49,MATCH(orders!$D502,products!$A$1:$A$49,0),MATCH(K$1,products!$A$1:$G$1,0))</f>
        <v>1</v>
      </c>
      <c r="L502" s="7">
        <f>INDEX(products!$A$1:$G$49,MATCH(orders!$D502,products!$A$1:$A$49,0),MATCH(L$1,products!$A$1:$G$1,0))</f>
        <v>11.95</v>
      </c>
      <c r="M502" s="7">
        <f t="shared" si="21"/>
        <v>47.8</v>
      </c>
      <c r="N502" t="str">
        <f t="shared" si="22"/>
        <v>Robusta</v>
      </c>
      <c r="O502" t="str">
        <f t="shared" si="23"/>
        <v>Light</v>
      </c>
      <c r="P502" t="str">
        <f>_xlfn.XLOOKUP(Table1[[#This Row],[Customer ID]],customers!$A$2:$A$1001,customers!$I$2:$I$1001,,0)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INDEX(products!$A$1:$G$49,MATCH(orders!$D503,products!$A$1:$A$49,0),MATCH(I$1,products!$A$1:$G$1,0))</f>
        <v>Rob</v>
      </c>
      <c r="J503" t="str">
        <f>INDEX(products!$A$1:$G$49,MATCH(orders!$D503,products!$A$1:$A$49,0),MATCH(J$1,products!$A$1:$G$1,0))</f>
        <v>M</v>
      </c>
      <c r="K503" s="6">
        <f>INDEX(products!$A$1:$G$49,MATCH(orders!$D503,products!$A$1:$A$49,0),MATCH(K$1,products!$A$1:$G$1,0))</f>
        <v>0.2</v>
      </c>
      <c r="L503" s="7">
        <f>INDEX(products!$A$1:$G$49,MATCH(orders!$D503,products!$A$1:$A$49,0),MATCH(L$1,products!$A$1:$G$1,0))</f>
        <v>2.9849999999999999</v>
      </c>
      <c r="M503" s="7">
        <f t="shared" si="21"/>
        <v>11.94</v>
      </c>
      <c r="N503" t="str">
        <f t="shared" si="22"/>
        <v>Robusta</v>
      </c>
      <c r="O503" t="str">
        <f t="shared" si="23"/>
        <v>Medium</v>
      </c>
      <c r="P503" t="str">
        <f>_xlfn.XLOOKUP(Table1[[#This Row],[Customer ID]],customers!$A$2:$A$1001,customers!$I$2:$I$1001,,0)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INDEX(products!$A$1:$G$49,MATCH(orders!$D504,products!$A$1:$A$49,0),MATCH(I$1,products!$A$1:$G$1,0))</f>
        <v>Exc</v>
      </c>
      <c r="J504" t="str">
        <f>INDEX(products!$A$1:$G$49,MATCH(orders!$D504,products!$A$1:$A$49,0),MATCH(J$1,products!$A$1:$G$1,0))</f>
        <v>M</v>
      </c>
      <c r="K504" s="6">
        <f>INDEX(products!$A$1:$G$49,MATCH(orders!$D504,products!$A$1:$A$49,0),MATCH(K$1,products!$A$1:$G$1,0))</f>
        <v>0.2</v>
      </c>
      <c r="L504" s="7">
        <f>INDEX(products!$A$1:$G$49,MATCH(orders!$D504,products!$A$1:$A$49,0),MATCH(L$1,products!$A$1:$G$1,0))</f>
        <v>4.125</v>
      </c>
      <c r="M504" s="7">
        <f t="shared" si="21"/>
        <v>16.5</v>
      </c>
      <c r="N504" t="str">
        <f t="shared" si="22"/>
        <v>Excelsa</v>
      </c>
      <c r="O504" t="str">
        <f t="shared" si="23"/>
        <v>Medium</v>
      </c>
      <c r="P504" t="str">
        <f>_xlfn.XLOOKUP(Table1[[#This Row],[Customer ID]],customers!$A$2:$A$1001,customers!$I$2:$I$1001,,0)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INDEX(products!$A$1:$G$49,MATCH(orders!$D505,products!$A$1:$A$49,0),MATCH(I$1,products!$A$1:$G$1,0))</f>
        <v>Lib</v>
      </c>
      <c r="J505" t="str">
        <f>INDEX(products!$A$1:$G$49,MATCH(orders!$D505,products!$A$1:$A$49,0),MATCH(J$1,products!$A$1:$G$1,0))</f>
        <v>D</v>
      </c>
      <c r="K505" s="6">
        <f>INDEX(products!$A$1:$G$49,MATCH(orders!$D505,products!$A$1:$A$49,0),MATCH(K$1,products!$A$1:$G$1,0))</f>
        <v>1</v>
      </c>
      <c r="L505" s="7">
        <f>INDEX(products!$A$1:$G$49,MATCH(orders!$D505,products!$A$1:$A$49,0),MATCH(L$1,products!$A$1:$G$1,0))</f>
        <v>12.95</v>
      </c>
      <c r="M505" s="7">
        <f t="shared" si="21"/>
        <v>51.8</v>
      </c>
      <c r="N505" t="str">
        <f t="shared" si="22"/>
        <v>Liberica</v>
      </c>
      <c r="O505" t="str">
        <f t="shared" si="23"/>
        <v>Dark</v>
      </c>
      <c r="P505" t="str">
        <f>_xlfn.XLOOKUP(Table1[[#This Row],[Customer ID]],customers!$A$2:$A$1001,customers!$I$2:$I$1001,,0)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INDEX(products!$A$1:$G$49,MATCH(orders!$D506,products!$A$1:$A$49,0),MATCH(I$1,products!$A$1:$G$1,0))</f>
        <v>Lib</v>
      </c>
      <c r="J506" t="str">
        <f>INDEX(products!$A$1:$G$49,MATCH(orders!$D506,products!$A$1:$A$49,0),MATCH(J$1,products!$A$1:$G$1,0))</f>
        <v>L</v>
      </c>
      <c r="K506" s="6">
        <f>INDEX(products!$A$1:$G$49,MATCH(orders!$D506,products!$A$1:$A$49,0),MATCH(K$1,products!$A$1:$G$1,0))</f>
        <v>0.2</v>
      </c>
      <c r="L506" s="7">
        <f>INDEX(products!$A$1:$G$49,MATCH(orders!$D506,products!$A$1:$A$49,0),MATCH(L$1,products!$A$1:$G$1,0))</f>
        <v>4.7549999999999999</v>
      </c>
      <c r="M506" s="7">
        <f t="shared" si="21"/>
        <v>14.265000000000001</v>
      </c>
      <c r="N506" t="str">
        <f t="shared" si="22"/>
        <v>Liberica</v>
      </c>
      <c r="O506" t="str">
        <f t="shared" si="23"/>
        <v>Light</v>
      </c>
      <c r="P506" t="str">
        <f>_xlfn.XLOOKUP(Table1[[#This Row],[Customer ID]],customers!$A$2:$A$1001,customers!$I$2:$I$1001,,0)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INDEX(products!$A$1:$G$49,MATCH(orders!$D507,products!$A$1:$A$49,0),MATCH(I$1,products!$A$1:$G$1,0))</f>
        <v>Lib</v>
      </c>
      <c r="J507" t="str">
        <f>INDEX(products!$A$1:$G$49,MATCH(orders!$D507,products!$A$1:$A$49,0),MATCH(J$1,products!$A$1:$G$1,0))</f>
        <v>M</v>
      </c>
      <c r="K507" s="6">
        <f>INDEX(products!$A$1:$G$49,MATCH(orders!$D507,products!$A$1:$A$49,0),MATCH(K$1,products!$A$1:$G$1,0))</f>
        <v>0.2</v>
      </c>
      <c r="L507" s="7">
        <f>INDEX(products!$A$1:$G$49,MATCH(orders!$D507,products!$A$1:$A$49,0),MATCH(L$1,products!$A$1:$G$1,0))</f>
        <v>4.3650000000000002</v>
      </c>
      <c r="M507" s="7">
        <f t="shared" si="21"/>
        <v>26.19</v>
      </c>
      <c r="N507" t="str">
        <f t="shared" si="22"/>
        <v>Liberica</v>
      </c>
      <c r="O507" t="str">
        <f t="shared" si="23"/>
        <v>Medium</v>
      </c>
      <c r="P507" t="str">
        <f>_xlfn.XLOOKUP(Table1[[#This Row],[Customer ID]],customers!$A$2:$A$1001,customers!$I$2:$I$1001,,0)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INDEX(products!$A$1:$G$49,MATCH(orders!$D508,products!$A$1:$A$49,0),MATCH(I$1,products!$A$1:$G$1,0))</f>
        <v>Ara</v>
      </c>
      <c r="J508" t="str">
        <f>INDEX(products!$A$1:$G$49,MATCH(orders!$D508,products!$A$1:$A$49,0),MATCH(J$1,products!$A$1:$G$1,0))</f>
        <v>L</v>
      </c>
      <c r="K508" s="6">
        <f>INDEX(products!$A$1:$G$49,MATCH(orders!$D508,products!$A$1:$A$49,0),MATCH(K$1,products!$A$1:$G$1,0))</f>
        <v>1</v>
      </c>
      <c r="L508" s="7">
        <f>INDEX(products!$A$1:$G$49,MATCH(orders!$D508,products!$A$1:$A$49,0),MATCH(L$1,products!$A$1:$G$1,0))</f>
        <v>12.95</v>
      </c>
      <c r="M508" s="7">
        <f t="shared" si="21"/>
        <v>25.9</v>
      </c>
      <c r="N508" t="str">
        <f t="shared" si="22"/>
        <v>Arabica</v>
      </c>
      <c r="O508" t="str">
        <f t="shared" si="23"/>
        <v>Light</v>
      </c>
      <c r="P508" t="str">
        <f>_xlfn.XLOOKUP(Table1[[#This Row],[Customer ID]],customers!$A$2:$A$1001,customers!$I$2:$I$1001,,0)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INDEX(products!$A$1:$G$49,MATCH(orders!$D509,products!$A$1:$A$49,0),MATCH(I$1,products!$A$1:$G$1,0))</f>
        <v>Ara</v>
      </c>
      <c r="J509" t="str">
        <f>INDEX(products!$A$1:$G$49,MATCH(orders!$D509,products!$A$1:$A$49,0),MATCH(J$1,products!$A$1:$G$1,0))</f>
        <v>L</v>
      </c>
      <c r="K509" s="6">
        <f>INDEX(products!$A$1:$G$49,MATCH(orders!$D509,products!$A$1:$A$49,0),MATCH(K$1,products!$A$1:$G$1,0))</f>
        <v>2.5</v>
      </c>
      <c r="L509" s="7">
        <f>INDEX(products!$A$1:$G$49,MATCH(orders!$D509,products!$A$1:$A$49,0),MATCH(L$1,products!$A$1:$G$1,0))</f>
        <v>29.784999999999997</v>
      </c>
      <c r="M509" s="7">
        <f t="shared" si="21"/>
        <v>89.35499999999999</v>
      </c>
      <c r="N509" t="str">
        <f t="shared" si="22"/>
        <v>Arabica</v>
      </c>
      <c r="O509" t="str">
        <f t="shared" si="23"/>
        <v>Light</v>
      </c>
      <c r="P509" t="str">
        <f>_xlfn.XLOOKUP(Table1[[#This Row],[Customer ID]],customers!$A$2:$A$1001,customers!$I$2:$I$1001,,0)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INDEX(products!$A$1:$G$49,MATCH(orders!$D510,products!$A$1:$A$49,0),MATCH(I$1,products!$A$1:$G$1,0))</f>
        <v>Lib</v>
      </c>
      <c r="J510" t="str">
        <f>INDEX(products!$A$1:$G$49,MATCH(orders!$D510,products!$A$1:$A$49,0),MATCH(J$1,products!$A$1:$G$1,0))</f>
        <v>D</v>
      </c>
      <c r="K510" s="6">
        <f>INDEX(products!$A$1:$G$49,MATCH(orders!$D510,products!$A$1:$A$49,0),MATCH(K$1,products!$A$1:$G$1,0))</f>
        <v>0.5</v>
      </c>
      <c r="L510" s="7">
        <f>INDEX(products!$A$1:$G$49,MATCH(orders!$D510,products!$A$1:$A$49,0),MATCH(L$1,products!$A$1:$G$1,0))</f>
        <v>7.77</v>
      </c>
      <c r="M510" s="7">
        <f t="shared" si="21"/>
        <v>46.62</v>
      </c>
      <c r="N510" t="str">
        <f t="shared" si="22"/>
        <v>Liberica</v>
      </c>
      <c r="O510" t="str">
        <f t="shared" si="23"/>
        <v>Dark</v>
      </c>
      <c r="P510" t="str">
        <f>_xlfn.XLOOKUP(Table1[[#This Row],[Customer ID]],customers!$A$2:$A$1001,customers!$I$2:$I$1001,,0)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INDEX(products!$A$1:$G$49,MATCH(orders!$D511,products!$A$1:$A$49,0),MATCH(I$1,products!$A$1:$G$1,0))</f>
        <v>Ara</v>
      </c>
      <c r="J511" t="str">
        <f>INDEX(products!$A$1:$G$49,MATCH(orders!$D511,products!$A$1:$A$49,0),MATCH(J$1,products!$A$1:$G$1,0))</f>
        <v>D</v>
      </c>
      <c r="K511" s="6">
        <f>INDEX(products!$A$1:$G$49,MATCH(orders!$D511,products!$A$1:$A$49,0),MATCH(K$1,products!$A$1:$G$1,0))</f>
        <v>1</v>
      </c>
      <c r="L511" s="7">
        <f>INDEX(products!$A$1:$G$49,MATCH(orders!$D511,products!$A$1:$A$49,0),MATCH(L$1,products!$A$1:$G$1,0))</f>
        <v>9.9499999999999993</v>
      </c>
      <c r="M511" s="7">
        <f t="shared" si="21"/>
        <v>29.849999999999998</v>
      </c>
      <c r="N511" t="str">
        <f t="shared" si="22"/>
        <v>Arabica</v>
      </c>
      <c r="O511" t="str">
        <f t="shared" si="23"/>
        <v>Dark</v>
      </c>
      <c r="P511" t="str">
        <f>_xlfn.XLOOKUP(Table1[[#This Row],[Customer ID]],customers!$A$2:$A$1001,customers!$I$2:$I$1001,,0)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INDEX(products!$A$1:$G$49,MATCH(orders!$D512,products!$A$1:$A$49,0),MATCH(I$1,products!$A$1:$G$1,0))</f>
        <v>Rob</v>
      </c>
      <c r="J512" t="str">
        <f>INDEX(products!$A$1:$G$49,MATCH(orders!$D512,products!$A$1:$A$49,0),MATCH(J$1,products!$A$1:$G$1,0))</f>
        <v>L</v>
      </c>
      <c r="K512" s="6">
        <f>INDEX(products!$A$1:$G$49,MATCH(orders!$D512,products!$A$1:$A$49,0),MATCH(K$1,products!$A$1:$G$1,0))</f>
        <v>0.2</v>
      </c>
      <c r="L512" s="7">
        <f>INDEX(products!$A$1:$G$49,MATCH(orders!$D512,products!$A$1:$A$49,0),MATCH(L$1,products!$A$1:$G$1,0))</f>
        <v>3.5849999999999995</v>
      </c>
      <c r="M512" s="7">
        <f t="shared" si="21"/>
        <v>10.754999999999999</v>
      </c>
      <c r="N512" t="str">
        <f t="shared" si="22"/>
        <v>Robusta</v>
      </c>
      <c r="O512" t="str">
        <f t="shared" si="23"/>
        <v>Light</v>
      </c>
      <c r="P512" t="str">
        <f>_xlfn.XLOOKUP(Table1[[#This Row],[Customer ID]],customers!$A$2:$A$1001,customers!$I$2:$I$1001,,0)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INDEX(products!$A$1:$G$49,MATCH(orders!$D513,products!$A$1:$A$49,0),MATCH(I$1,products!$A$1:$G$1,0))</f>
        <v>Ara</v>
      </c>
      <c r="J513" t="str">
        <f>INDEX(products!$A$1:$G$49,MATCH(orders!$D513,products!$A$1:$A$49,0),MATCH(J$1,products!$A$1:$G$1,0))</f>
        <v>M</v>
      </c>
      <c r="K513" s="6">
        <f>INDEX(products!$A$1:$G$49,MATCH(orders!$D513,products!$A$1:$A$49,0),MATCH(K$1,products!$A$1:$G$1,0))</f>
        <v>0.2</v>
      </c>
      <c r="L513" s="7">
        <f>INDEX(products!$A$1:$G$49,MATCH(orders!$D513,products!$A$1:$A$49,0),MATCH(L$1,products!$A$1:$G$1,0))</f>
        <v>3.375</v>
      </c>
      <c r="M513" s="7">
        <f t="shared" si="21"/>
        <v>13.5</v>
      </c>
      <c r="N513" t="str">
        <f t="shared" si="22"/>
        <v>Arabica</v>
      </c>
      <c r="O513" t="str">
        <f t="shared" si="23"/>
        <v>Medium</v>
      </c>
      <c r="P513" t="str">
        <f>_xlfn.XLOOKUP(Table1[[#This Row],[Customer ID]],customers!$A$2:$A$1001,customers!$I$2:$I$1001,,0)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INDEX(products!$A$1:$G$49,MATCH(orders!$D514,products!$A$1:$A$49,0),MATCH(I$1,products!$A$1:$G$1,0))</f>
        <v>Lib</v>
      </c>
      <c r="J514" t="str">
        <f>INDEX(products!$A$1:$G$49,MATCH(orders!$D514,products!$A$1:$A$49,0),MATCH(J$1,products!$A$1:$G$1,0))</f>
        <v>L</v>
      </c>
      <c r="K514" s="6">
        <f>INDEX(products!$A$1:$G$49,MATCH(orders!$D514,products!$A$1:$A$49,0),MATCH(K$1,products!$A$1:$G$1,0))</f>
        <v>1</v>
      </c>
      <c r="L514" s="7">
        <f>INDEX(products!$A$1:$G$49,MATCH(orders!$D514,products!$A$1:$A$49,0),MATCH(L$1,products!$A$1:$G$1,0))</f>
        <v>15.85</v>
      </c>
      <c r="M514" s="7">
        <f t="shared" si="21"/>
        <v>47.55</v>
      </c>
      <c r="N514" t="str">
        <f t="shared" si="22"/>
        <v>Liberica</v>
      </c>
      <c r="O514" t="str">
        <f t="shared" si="23"/>
        <v>Light</v>
      </c>
      <c r="P514" t="str">
        <f>_xlfn.XLOOKUP(Table1[[#This Row],[Customer ID]],customers!$A$2:$A$1001,customers!$I$2:$I$1001,,0)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INDEX(products!$A$1:$G$49,MATCH(orders!$D515,products!$A$1:$A$49,0),MATCH(I$1,products!$A$1:$G$1,0))</f>
        <v>Lib</v>
      </c>
      <c r="J515" t="str">
        <f>INDEX(products!$A$1:$G$49,MATCH(orders!$D515,products!$A$1:$A$49,0),MATCH(J$1,products!$A$1:$G$1,0))</f>
        <v>L</v>
      </c>
      <c r="K515" s="6">
        <f>INDEX(products!$A$1:$G$49,MATCH(orders!$D515,products!$A$1:$A$49,0),MATCH(K$1,products!$A$1:$G$1,0))</f>
        <v>1</v>
      </c>
      <c r="L515" s="7">
        <f>INDEX(products!$A$1:$G$49,MATCH(orders!$D515,products!$A$1:$A$49,0),MATCH(L$1,products!$A$1:$G$1,0))</f>
        <v>15.85</v>
      </c>
      <c r="M515" s="7">
        <f t="shared" ref="M515:M578" si="24">L515*E515</f>
        <v>79.25</v>
      </c>
      <c r="N515" t="str">
        <f t="shared" ref="N515:N578" si="25">IF(I515="Rob","Robusta",IF(I515="Exc","Excelsa",IF(I515="Ara","Arabica",IF(I515="Lib","Liberica",""))))</f>
        <v>Liberica</v>
      </c>
      <c r="O515" t="str">
        <f t="shared" ref="O515:O578" si="26">IF(J515="M","Medium",IF(J515="L","Light",IF(J515="D","Dark","")))</f>
        <v>Light</v>
      </c>
      <c r="P515" t="str">
        <f>_xlfn.XLOOKUP(Table1[[#This Row],[Customer ID]],customers!$A$2:$A$1001,customers!$I$2:$I$1001,,0)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INDEX(products!$A$1:$G$49,MATCH(orders!$D516,products!$A$1:$A$49,0),MATCH(I$1,products!$A$1:$G$1,0))</f>
        <v>Lib</v>
      </c>
      <c r="J516" t="str">
        <f>INDEX(products!$A$1:$G$49,MATCH(orders!$D516,products!$A$1:$A$49,0),MATCH(J$1,products!$A$1:$G$1,0))</f>
        <v>M</v>
      </c>
      <c r="K516" s="6">
        <f>INDEX(products!$A$1:$G$49,MATCH(orders!$D516,products!$A$1:$A$49,0),MATCH(K$1,products!$A$1:$G$1,0))</f>
        <v>0.2</v>
      </c>
      <c r="L516" s="7">
        <f>INDEX(products!$A$1:$G$49,MATCH(orders!$D516,products!$A$1:$A$49,0),MATCH(L$1,products!$A$1:$G$1,0))</f>
        <v>4.3650000000000002</v>
      </c>
      <c r="M516" s="7">
        <f t="shared" si="24"/>
        <v>26.19</v>
      </c>
      <c r="N516" t="str">
        <f t="shared" si="25"/>
        <v>Liberica</v>
      </c>
      <c r="O516" t="str">
        <f t="shared" si="26"/>
        <v>Medium</v>
      </c>
      <c r="P516" t="str">
        <f>_xlfn.XLOOKUP(Table1[[#This Row],[Customer ID]],customers!$A$2:$A$1001,customers!$I$2:$I$1001,,0)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INDEX(products!$A$1:$G$49,MATCH(orders!$D517,products!$A$1:$A$49,0),MATCH(I$1,products!$A$1:$G$1,0))</f>
        <v>Rob</v>
      </c>
      <c r="J517" t="str">
        <f>INDEX(products!$A$1:$G$49,MATCH(orders!$D517,products!$A$1:$A$49,0),MATCH(J$1,products!$A$1:$G$1,0))</f>
        <v>L</v>
      </c>
      <c r="K517" s="6">
        <f>INDEX(products!$A$1:$G$49,MATCH(orders!$D517,products!$A$1:$A$49,0),MATCH(K$1,products!$A$1:$G$1,0))</f>
        <v>0.5</v>
      </c>
      <c r="L517" s="7">
        <f>INDEX(products!$A$1:$G$49,MATCH(orders!$D517,products!$A$1:$A$49,0),MATCH(L$1,products!$A$1:$G$1,0))</f>
        <v>7.169999999999999</v>
      </c>
      <c r="M517" s="7">
        <f t="shared" si="24"/>
        <v>21.509999999999998</v>
      </c>
      <c r="N517" t="str">
        <f t="shared" si="25"/>
        <v>Robusta</v>
      </c>
      <c r="O517" t="str">
        <f t="shared" si="26"/>
        <v>Light</v>
      </c>
      <c r="P517" t="str">
        <f>_xlfn.XLOOKUP(Table1[[#This Row],[Customer ID]],customers!$A$2:$A$1001,customers!$I$2:$I$1001,,0)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INDEX(products!$A$1:$G$49,MATCH(orders!$D518,products!$A$1:$A$49,0),MATCH(I$1,products!$A$1:$G$1,0))</f>
        <v>Rob</v>
      </c>
      <c r="J518" t="str">
        <f>INDEX(products!$A$1:$G$49,MATCH(orders!$D518,products!$A$1:$A$49,0),MATCH(J$1,products!$A$1:$G$1,0))</f>
        <v>D</v>
      </c>
      <c r="K518" s="6">
        <f>INDEX(products!$A$1:$G$49,MATCH(orders!$D518,products!$A$1:$A$49,0),MATCH(K$1,products!$A$1:$G$1,0))</f>
        <v>2.5</v>
      </c>
      <c r="L518" s="7">
        <f>INDEX(products!$A$1:$G$49,MATCH(orders!$D518,products!$A$1:$A$49,0),MATCH(L$1,products!$A$1:$G$1,0))</f>
        <v>20.584999999999997</v>
      </c>
      <c r="M518" s="7">
        <f t="shared" si="24"/>
        <v>102.92499999999998</v>
      </c>
      <c r="N518" t="str">
        <f t="shared" si="25"/>
        <v>Robusta</v>
      </c>
      <c r="O518" t="str">
        <f t="shared" si="26"/>
        <v>Dark</v>
      </c>
      <c r="P518" t="str">
        <f>_xlfn.XLOOKUP(Table1[[#This Row],[Customer ID]],customers!$A$2:$A$1001,customers!$I$2:$I$1001,,0)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INDEX(products!$A$1:$G$49,MATCH(orders!$D519,products!$A$1:$A$49,0),MATCH(I$1,products!$A$1:$G$1,0))</f>
        <v>Lib</v>
      </c>
      <c r="J519" t="str">
        <f>INDEX(products!$A$1:$G$49,MATCH(orders!$D519,products!$A$1:$A$49,0),MATCH(J$1,products!$A$1:$G$1,0))</f>
        <v>D</v>
      </c>
      <c r="K519" s="6">
        <f>INDEX(products!$A$1:$G$49,MATCH(orders!$D519,products!$A$1:$A$49,0),MATCH(K$1,products!$A$1:$G$1,0))</f>
        <v>0.2</v>
      </c>
      <c r="L519" s="7">
        <f>INDEX(products!$A$1:$G$49,MATCH(orders!$D519,products!$A$1:$A$49,0),MATCH(L$1,products!$A$1:$G$1,0))</f>
        <v>3.8849999999999998</v>
      </c>
      <c r="M519" s="7">
        <f t="shared" si="24"/>
        <v>7.77</v>
      </c>
      <c r="N519" t="str">
        <f t="shared" si="25"/>
        <v>Liberica</v>
      </c>
      <c r="O519" t="str">
        <f t="shared" si="26"/>
        <v>Dark</v>
      </c>
      <c r="P519" t="str">
        <f>_xlfn.XLOOKUP(Table1[[#This Row],[Customer ID]],customers!$A$2:$A$1001,customers!$I$2:$I$1001,,0)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INDEX(products!$A$1:$G$49,MATCH(orders!$D520,products!$A$1:$A$49,0),MATCH(I$1,products!$A$1:$G$1,0))</f>
        <v>Exc</v>
      </c>
      <c r="J520" t="str">
        <f>INDEX(products!$A$1:$G$49,MATCH(orders!$D520,products!$A$1:$A$49,0),MATCH(J$1,products!$A$1:$G$1,0))</f>
        <v>D</v>
      </c>
      <c r="K520" s="6">
        <f>INDEX(products!$A$1:$G$49,MATCH(orders!$D520,products!$A$1:$A$49,0),MATCH(K$1,products!$A$1:$G$1,0))</f>
        <v>2.5</v>
      </c>
      <c r="L520" s="7">
        <f>INDEX(products!$A$1:$G$49,MATCH(orders!$D520,products!$A$1:$A$49,0),MATCH(L$1,products!$A$1:$G$1,0))</f>
        <v>27.945</v>
      </c>
      <c r="M520" s="7">
        <f t="shared" si="24"/>
        <v>139.72499999999999</v>
      </c>
      <c r="N520" t="str">
        <f t="shared" si="25"/>
        <v>Excelsa</v>
      </c>
      <c r="O520" t="str">
        <f t="shared" si="26"/>
        <v>Dark</v>
      </c>
      <c r="P520" t="str">
        <f>_xlfn.XLOOKUP(Table1[[#This Row],[Customer ID]],customers!$A$2:$A$1001,customers!$I$2:$I$1001,,0)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INDEX(products!$A$1:$G$49,MATCH(orders!$D521,products!$A$1:$A$49,0),MATCH(I$1,products!$A$1:$G$1,0))</f>
        <v>Ara</v>
      </c>
      <c r="J521" t="str">
        <f>INDEX(products!$A$1:$G$49,MATCH(orders!$D521,products!$A$1:$A$49,0),MATCH(J$1,products!$A$1:$G$1,0))</f>
        <v>D</v>
      </c>
      <c r="K521" s="6">
        <f>INDEX(products!$A$1:$G$49,MATCH(orders!$D521,products!$A$1:$A$49,0),MATCH(K$1,products!$A$1:$G$1,0))</f>
        <v>0.5</v>
      </c>
      <c r="L521" s="7">
        <f>INDEX(products!$A$1:$G$49,MATCH(orders!$D521,products!$A$1:$A$49,0),MATCH(L$1,products!$A$1:$G$1,0))</f>
        <v>5.97</v>
      </c>
      <c r="M521" s="7">
        <f t="shared" si="24"/>
        <v>11.94</v>
      </c>
      <c r="N521" t="str">
        <f t="shared" si="25"/>
        <v>Arabica</v>
      </c>
      <c r="O521" t="str">
        <f t="shared" si="26"/>
        <v>Dark</v>
      </c>
      <c r="P521" t="str">
        <f>_xlfn.XLOOKUP(Table1[[#This Row],[Customer ID]],customers!$A$2:$A$1001,customers!$I$2:$I$1001,,0)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INDEX(products!$A$1:$G$49,MATCH(orders!$D522,products!$A$1:$A$49,0),MATCH(I$1,products!$A$1:$G$1,0))</f>
        <v>Lib</v>
      </c>
      <c r="J522" t="str">
        <f>INDEX(products!$A$1:$G$49,MATCH(orders!$D522,products!$A$1:$A$49,0),MATCH(J$1,products!$A$1:$G$1,0))</f>
        <v>D</v>
      </c>
      <c r="K522" s="6">
        <f>INDEX(products!$A$1:$G$49,MATCH(orders!$D522,products!$A$1:$A$49,0),MATCH(K$1,products!$A$1:$G$1,0))</f>
        <v>0.2</v>
      </c>
      <c r="L522" s="7">
        <f>INDEX(products!$A$1:$G$49,MATCH(orders!$D522,products!$A$1:$A$49,0),MATCH(L$1,products!$A$1:$G$1,0))</f>
        <v>3.8849999999999998</v>
      </c>
      <c r="M522" s="7">
        <f t="shared" si="24"/>
        <v>3.8849999999999998</v>
      </c>
      <c r="N522" t="str">
        <f t="shared" si="25"/>
        <v>Liberica</v>
      </c>
      <c r="O522" t="str">
        <f t="shared" si="26"/>
        <v>Dark</v>
      </c>
      <c r="P522" t="str">
        <f>_xlfn.XLOOKUP(Table1[[#This Row],[Customer ID]],customers!$A$2:$A$1001,customers!$I$2:$I$1001,,0)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INDEX(products!$A$1:$G$49,MATCH(orders!$D523,products!$A$1:$A$49,0),MATCH(I$1,products!$A$1:$G$1,0))</f>
        <v>Rob</v>
      </c>
      <c r="J523" t="str">
        <f>INDEX(products!$A$1:$G$49,MATCH(orders!$D523,products!$A$1:$A$49,0),MATCH(J$1,products!$A$1:$G$1,0))</f>
        <v>M</v>
      </c>
      <c r="K523" s="6">
        <f>INDEX(products!$A$1:$G$49,MATCH(orders!$D523,products!$A$1:$A$49,0),MATCH(K$1,products!$A$1:$G$1,0))</f>
        <v>1</v>
      </c>
      <c r="L523" s="7">
        <f>INDEX(products!$A$1:$G$49,MATCH(orders!$D523,products!$A$1:$A$49,0),MATCH(L$1,products!$A$1:$G$1,0))</f>
        <v>9.9499999999999993</v>
      </c>
      <c r="M523" s="7">
        <f t="shared" si="24"/>
        <v>39.799999999999997</v>
      </c>
      <c r="N523" t="str">
        <f t="shared" si="25"/>
        <v>Robusta</v>
      </c>
      <c r="O523" t="str">
        <f t="shared" si="26"/>
        <v>Medium</v>
      </c>
      <c r="P523" t="str">
        <f>_xlfn.XLOOKUP(Table1[[#This Row],[Customer ID]],customers!$A$2:$A$1001,customers!$I$2:$I$1001,,0)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INDEX(products!$A$1:$G$49,MATCH(orders!$D524,products!$A$1:$A$49,0),MATCH(I$1,products!$A$1:$G$1,0))</f>
        <v>Rob</v>
      </c>
      <c r="J524" t="str">
        <f>INDEX(products!$A$1:$G$49,MATCH(orders!$D524,products!$A$1:$A$49,0),MATCH(J$1,products!$A$1:$G$1,0))</f>
        <v>M</v>
      </c>
      <c r="K524" s="6">
        <f>INDEX(products!$A$1:$G$49,MATCH(orders!$D524,products!$A$1:$A$49,0),MATCH(K$1,products!$A$1:$G$1,0))</f>
        <v>0.5</v>
      </c>
      <c r="L524" s="7">
        <f>INDEX(products!$A$1:$G$49,MATCH(orders!$D524,products!$A$1:$A$49,0),MATCH(L$1,products!$A$1:$G$1,0))</f>
        <v>5.97</v>
      </c>
      <c r="M524" s="7">
        <f t="shared" si="24"/>
        <v>29.849999999999998</v>
      </c>
      <c r="N524" t="str">
        <f t="shared" si="25"/>
        <v>Robusta</v>
      </c>
      <c r="O524" t="str">
        <f t="shared" si="26"/>
        <v>Medium</v>
      </c>
      <c r="P524" t="str">
        <f>_xlfn.XLOOKUP(Table1[[#This Row],[Customer ID]],customers!$A$2:$A$1001,customers!$I$2:$I$1001,,0)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INDEX(products!$A$1:$G$49,MATCH(orders!$D525,products!$A$1:$A$49,0),MATCH(I$1,products!$A$1:$G$1,0))</f>
        <v>Lib</v>
      </c>
      <c r="J525" t="str">
        <f>INDEX(products!$A$1:$G$49,MATCH(orders!$D525,products!$A$1:$A$49,0),MATCH(J$1,products!$A$1:$G$1,0))</f>
        <v>D</v>
      </c>
      <c r="K525" s="6">
        <f>INDEX(products!$A$1:$G$49,MATCH(orders!$D525,products!$A$1:$A$49,0),MATCH(K$1,products!$A$1:$G$1,0))</f>
        <v>2.5</v>
      </c>
      <c r="L525" s="7">
        <f>INDEX(products!$A$1:$G$49,MATCH(orders!$D525,products!$A$1:$A$49,0),MATCH(L$1,products!$A$1:$G$1,0))</f>
        <v>29.784999999999997</v>
      </c>
      <c r="M525" s="7">
        <f t="shared" si="24"/>
        <v>29.784999999999997</v>
      </c>
      <c r="N525" t="str">
        <f t="shared" si="25"/>
        <v>Liberica</v>
      </c>
      <c r="O525" t="str">
        <f t="shared" si="26"/>
        <v>Dark</v>
      </c>
      <c r="P525" t="str">
        <f>_xlfn.XLOOKUP(Table1[[#This Row],[Customer ID]],customers!$A$2:$A$1001,customers!$I$2:$I$1001,,0)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INDEX(products!$A$1:$G$49,MATCH(orders!$D526,products!$A$1:$A$49,0),MATCH(I$1,products!$A$1:$G$1,0))</f>
        <v>Lib</v>
      </c>
      <c r="J526" t="str">
        <f>INDEX(products!$A$1:$G$49,MATCH(orders!$D526,products!$A$1:$A$49,0),MATCH(J$1,products!$A$1:$G$1,0))</f>
        <v>L</v>
      </c>
      <c r="K526" s="6">
        <f>INDEX(products!$A$1:$G$49,MATCH(orders!$D526,products!$A$1:$A$49,0),MATCH(K$1,products!$A$1:$G$1,0))</f>
        <v>2.5</v>
      </c>
      <c r="L526" s="7">
        <f>INDEX(products!$A$1:$G$49,MATCH(orders!$D526,products!$A$1:$A$49,0),MATCH(L$1,products!$A$1:$G$1,0))</f>
        <v>36.454999999999998</v>
      </c>
      <c r="M526" s="7">
        <f t="shared" si="24"/>
        <v>72.91</v>
      </c>
      <c r="N526" t="str">
        <f t="shared" si="25"/>
        <v>Liberica</v>
      </c>
      <c r="O526" t="str">
        <f t="shared" si="26"/>
        <v>Light</v>
      </c>
      <c r="P526" t="str">
        <f>_xlfn.XLOOKUP(Table1[[#This Row],[Customer ID]],customers!$A$2:$A$1001,customers!$I$2:$I$1001,,0)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INDEX(products!$A$1:$G$49,MATCH(orders!$D527,products!$A$1:$A$49,0),MATCH(I$1,products!$A$1:$G$1,0))</f>
        <v>Rob</v>
      </c>
      <c r="J527" t="str">
        <f>INDEX(products!$A$1:$G$49,MATCH(orders!$D527,products!$A$1:$A$49,0),MATCH(J$1,products!$A$1:$G$1,0))</f>
        <v>D</v>
      </c>
      <c r="K527" s="6">
        <f>INDEX(products!$A$1:$G$49,MATCH(orders!$D527,products!$A$1:$A$49,0),MATCH(K$1,products!$A$1:$G$1,0))</f>
        <v>0.2</v>
      </c>
      <c r="L527" s="7">
        <f>INDEX(products!$A$1:$G$49,MATCH(orders!$D527,products!$A$1:$A$49,0),MATCH(L$1,products!$A$1:$G$1,0))</f>
        <v>2.6849999999999996</v>
      </c>
      <c r="M527" s="7">
        <f t="shared" si="24"/>
        <v>13.424999999999997</v>
      </c>
      <c r="N527" t="str">
        <f t="shared" si="25"/>
        <v>Robusta</v>
      </c>
      <c r="O527" t="str">
        <f t="shared" si="26"/>
        <v>Dark</v>
      </c>
      <c r="P527" t="str">
        <f>_xlfn.XLOOKUP(Table1[[#This Row],[Customer ID]],customers!$A$2:$A$1001,customers!$I$2:$I$1001,,0)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INDEX(products!$A$1:$G$49,MATCH(orders!$D528,products!$A$1:$A$49,0),MATCH(I$1,products!$A$1:$G$1,0))</f>
        <v>Exc</v>
      </c>
      <c r="J528" t="str">
        <f>INDEX(products!$A$1:$G$49,MATCH(orders!$D528,products!$A$1:$A$49,0),MATCH(J$1,products!$A$1:$G$1,0))</f>
        <v>M</v>
      </c>
      <c r="K528" s="6">
        <f>INDEX(products!$A$1:$G$49,MATCH(orders!$D528,products!$A$1:$A$49,0),MATCH(K$1,products!$A$1:$G$1,0))</f>
        <v>2.5</v>
      </c>
      <c r="L528" s="7">
        <f>INDEX(products!$A$1:$G$49,MATCH(orders!$D528,products!$A$1:$A$49,0),MATCH(L$1,products!$A$1:$G$1,0))</f>
        <v>31.624999999999996</v>
      </c>
      <c r="M528" s="7">
        <f t="shared" si="24"/>
        <v>126.49999999999999</v>
      </c>
      <c r="N528" t="str">
        <f t="shared" si="25"/>
        <v>Excelsa</v>
      </c>
      <c r="O528" t="str">
        <f t="shared" si="26"/>
        <v>Medium</v>
      </c>
      <c r="P528" t="str">
        <f>_xlfn.XLOOKUP(Table1[[#This Row],[Customer ID]],customers!$A$2:$A$1001,customers!$I$2:$I$1001,,0)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INDEX(products!$A$1:$G$49,MATCH(orders!$D529,products!$A$1:$A$49,0),MATCH(I$1,products!$A$1:$G$1,0))</f>
        <v>Exc</v>
      </c>
      <c r="J529" t="str">
        <f>INDEX(products!$A$1:$G$49,MATCH(orders!$D529,products!$A$1:$A$49,0),MATCH(J$1,products!$A$1:$G$1,0))</f>
        <v>M</v>
      </c>
      <c r="K529" s="6">
        <f>INDEX(products!$A$1:$G$49,MATCH(orders!$D529,products!$A$1:$A$49,0),MATCH(K$1,products!$A$1:$G$1,0))</f>
        <v>0.5</v>
      </c>
      <c r="L529" s="7">
        <f>INDEX(products!$A$1:$G$49,MATCH(orders!$D529,products!$A$1:$A$49,0),MATCH(L$1,products!$A$1:$G$1,0))</f>
        <v>8.25</v>
      </c>
      <c r="M529" s="7">
        <f t="shared" si="24"/>
        <v>41.25</v>
      </c>
      <c r="N529" t="str">
        <f t="shared" si="25"/>
        <v>Excelsa</v>
      </c>
      <c r="O529" t="str">
        <f t="shared" si="26"/>
        <v>Medium</v>
      </c>
      <c r="P529" t="str">
        <f>_xlfn.XLOOKUP(Table1[[#This Row],[Customer ID]],customers!$A$2:$A$1001,customers!$I$2:$I$1001,,0)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INDEX(products!$A$1:$G$49,MATCH(orders!$D530,products!$A$1:$A$49,0),MATCH(I$1,products!$A$1:$G$1,0))</f>
        <v>Exc</v>
      </c>
      <c r="J530" t="str">
        <f>INDEX(products!$A$1:$G$49,MATCH(orders!$D530,products!$A$1:$A$49,0),MATCH(J$1,products!$A$1:$G$1,0))</f>
        <v>L</v>
      </c>
      <c r="K530" s="6">
        <f>INDEX(products!$A$1:$G$49,MATCH(orders!$D530,products!$A$1:$A$49,0),MATCH(K$1,products!$A$1:$G$1,0))</f>
        <v>0.5</v>
      </c>
      <c r="L530" s="7">
        <f>INDEX(products!$A$1:$G$49,MATCH(orders!$D530,products!$A$1:$A$49,0),MATCH(L$1,products!$A$1:$G$1,0))</f>
        <v>8.91</v>
      </c>
      <c r="M530" s="7">
        <f t="shared" si="24"/>
        <v>53.46</v>
      </c>
      <c r="N530" t="str">
        <f t="shared" si="25"/>
        <v>Excelsa</v>
      </c>
      <c r="O530" t="str">
        <f t="shared" si="26"/>
        <v>Light</v>
      </c>
      <c r="P530" t="str">
        <f>_xlfn.XLOOKUP(Table1[[#This Row],[Customer ID]],customers!$A$2:$A$1001,customers!$I$2:$I$1001,,0)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INDEX(products!$A$1:$G$49,MATCH(orders!$D531,products!$A$1:$A$49,0),MATCH(I$1,products!$A$1:$G$1,0))</f>
        <v>Rob</v>
      </c>
      <c r="J531" t="str">
        <f>INDEX(products!$A$1:$G$49,MATCH(orders!$D531,products!$A$1:$A$49,0),MATCH(J$1,products!$A$1:$G$1,0))</f>
        <v>M</v>
      </c>
      <c r="K531" s="6">
        <f>INDEX(products!$A$1:$G$49,MATCH(orders!$D531,products!$A$1:$A$49,0),MATCH(K$1,products!$A$1:$G$1,0))</f>
        <v>1</v>
      </c>
      <c r="L531" s="7">
        <f>INDEX(products!$A$1:$G$49,MATCH(orders!$D531,products!$A$1:$A$49,0),MATCH(L$1,products!$A$1:$G$1,0))</f>
        <v>9.9499999999999993</v>
      </c>
      <c r="M531" s="7">
        <f t="shared" si="24"/>
        <v>59.699999999999996</v>
      </c>
      <c r="N531" t="str">
        <f t="shared" si="25"/>
        <v>Robusta</v>
      </c>
      <c r="O531" t="str">
        <f t="shared" si="26"/>
        <v>Medium</v>
      </c>
      <c r="P531" t="str">
        <f>_xlfn.XLOOKUP(Table1[[#This Row],[Customer ID]],customers!$A$2:$A$1001,customers!$I$2:$I$1001,,0)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INDEX(products!$A$1:$G$49,MATCH(orders!$D532,products!$A$1:$A$49,0),MATCH(I$1,products!$A$1:$G$1,0))</f>
        <v>Rob</v>
      </c>
      <c r="J532" t="str">
        <f>INDEX(products!$A$1:$G$49,MATCH(orders!$D532,products!$A$1:$A$49,0),MATCH(J$1,products!$A$1:$G$1,0))</f>
        <v>M</v>
      </c>
      <c r="K532" s="6">
        <f>INDEX(products!$A$1:$G$49,MATCH(orders!$D532,products!$A$1:$A$49,0),MATCH(K$1,products!$A$1:$G$1,0))</f>
        <v>1</v>
      </c>
      <c r="L532" s="7">
        <f>INDEX(products!$A$1:$G$49,MATCH(orders!$D532,products!$A$1:$A$49,0),MATCH(L$1,products!$A$1:$G$1,0))</f>
        <v>9.9499999999999993</v>
      </c>
      <c r="M532" s="7">
        <f t="shared" si="24"/>
        <v>59.699999999999996</v>
      </c>
      <c r="N532" t="str">
        <f t="shared" si="25"/>
        <v>Robusta</v>
      </c>
      <c r="O532" t="str">
        <f t="shared" si="26"/>
        <v>Medium</v>
      </c>
      <c r="P532" t="str">
        <f>_xlfn.XLOOKUP(Table1[[#This Row],[Customer ID]],customers!$A$2:$A$1001,customers!$I$2:$I$1001,,0)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INDEX(products!$A$1:$G$49,MATCH(orders!$D533,products!$A$1:$A$49,0),MATCH(I$1,products!$A$1:$G$1,0))</f>
        <v>Rob</v>
      </c>
      <c r="J533" t="str">
        <f>INDEX(products!$A$1:$G$49,MATCH(orders!$D533,products!$A$1:$A$49,0),MATCH(J$1,products!$A$1:$G$1,0))</f>
        <v>D</v>
      </c>
      <c r="K533" s="6">
        <f>INDEX(products!$A$1:$G$49,MATCH(orders!$D533,products!$A$1:$A$49,0),MATCH(K$1,products!$A$1:$G$1,0))</f>
        <v>1</v>
      </c>
      <c r="L533" s="7">
        <f>INDEX(products!$A$1:$G$49,MATCH(orders!$D533,products!$A$1:$A$49,0),MATCH(L$1,products!$A$1:$G$1,0))</f>
        <v>8.9499999999999993</v>
      </c>
      <c r="M533" s="7">
        <f t="shared" si="24"/>
        <v>44.75</v>
      </c>
      <c r="N533" t="str">
        <f t="shared" si="25"/>
        <v>Robusta</v>
      </c>
      <c r="O533" t="str">
        <f t="shared" si="26"/>
        <v>Dark</v>
      </c>
      <c r="P533" t="str">
        <f>_xlfn.XLOOKUP(Table1[[#This Row],[Customer ID]],customers!$A$2:$A$1001,customers!$I$2:$I$1001,,0)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INDEX(products!$A$1:$G$49,MATCH(orders!$D534,products!$A$1:$A$49,0),MATCH(I$1,products!$A$1:$G$1,0))</f>
        <v>Exc</v>
      </c>
      <c r="J534" t="str">
        <f>INDEX(products!$A$1:$G$49,MATCH(orders!$D534,products!$A$1:$A$49,0),MATCH(J$1,products!$A$1:$G$1,0))</f>
        <v>M</v>
      </c>
      <c r="K534" s="6">
        <f>INDEX(products!$A$1:$G$49,MATCH(orders!$D534,products!$A$1:$A$49,0),MATCH(K$1,products!$A$1:$G$1,0))</f>
        <v>0.5</v>
      </c>
      <c r="L534" s="7">
        <f>INDEX(products!$A$1:$G$49,MATCH(orders!$D534,products!$A$1:$A$49,0),MATCH(L$1,products!$A$1:$G$1,0))</f>
        <v>8.25</v>
      </c>
      <c r="M534" s="7">
        <f t="shared" si="24"/>
        <v>16.5</v>
      </c>
      <c r="N534" t="str">
        <f t="shared" si="25"/>
        <v>Excelsa</v>
      </c>
      <c r="O534" t="str">
        <f t="shared" si="26"/>
        <v>Medium</v>
      </c>
      <c r="P534" t="str">
        <f>_xlfn.XLOOKUP(Table1[[#This Row],[Customer ID]],customers!$A$2:$A$1001,customers!$I$2:$I$1001,,0)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INDEX(products!$A$1:$G$49,MATCH(orders!$D535,products!$A$1:$A$49,0),MATCH(I$1,products!$A$1:$G$1,0))</f>
        <v>Rob</v>
      </c>
      <c r="J535" t="str">
        <f>INDEX(products!$A$1:$G$49,MATCH(orders!$D535,products!$A$1:$A$49,0),MATCH(J$1,products!$A$1:$G$1,0))</f>
        <v>D</v>
      </c>
      <c r="K535" s="6">
        <f>INDEX(products!$A$1:$G$49,MATCH(orders!$D535,products!$A$1:$A$49,0),MATCH(K$1,products!$A$1:$G$1,0))</f>
        <v>0.5</v>
      </c>
      <c r="L535" s="7">
        <f>INDEX(products!$A$1:$G$49,MATCH(orders!$D535,products!$A$1:$A$49,0),MATCH(L$1,products!$A$1:$G$1,0))</f>
        <v>5.3699999999999992</v>
      </c>
      <c r="M535" s="7">
        <f t="shared" si="24"/>
        <v>21.479999999999997</v>
      </c>
      <c r="N535" t="str">
        <f t="shared" si="25"/>
        <v>Robusta</v>
      </c>
      <c r="O535" t="str">
        <f t="shared" si="26"/>
        <v>Dark</v>
      </c>
      <c r="P535" t="str">
        <f>_xlfn.XLOOKUP(Table1[[#This Row],[Customer ID]],customers!$A$2:$A$1001,customers!$I$2:$I$1001,,0)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INDEX(products!$A$1:$G$49,MATCH(orders!$D536,products!$A$1:$A$49,0),MATCH(I$1,products!$A$1:$G$1,0))</f>
        <v>Rob</v>
      </c>
      <c r="J536" t="str">
        <f>INDEX(products!$A$1:$G$49,MATCH(orders!$D536,products!$A$1:$A$49,0),MATCH(J$1,products!$A$1:$G$1,0))</f>
        <v>M</v>
      </c>
      <c r="K536" s="6">
        <f>INDEX(products!$A$1:$G$49,MATCH(orders!$D536,products!$A$1:$A$49,0),MATCH(K$1,products!$A$1:$G$1,0))</f>
        <v>2.5</v>
      </c>
      <c r="L536" s="7">
        <f>INDEX(products!$A$1:$G$49,MATCH(orders!$D536,products!$A$1:$A$49,0),MATCH(L$1,products!$A$1:$G$1,0))</f>
        <v>22.884999999999998</v>
      </c>
      <c r="M536" s="7">
        <f t="shared" si="24"/>
        <v>45.769999999999996</v>
      </c>
      <c r="N536" t="str">
        <f t="shared" si="25"/>
        <v>Robusta</v>
      </c>
      <c r="O536" t="str">
        <f t="shared" si="26"/>
        <v>Medium</v>
      </c>
      <c r="P536" t="str">
        <f>_xlfn.XLOOKUP(Table1[[#This Row],[Customer ID]],customers!$A$2:$A$1001,customers!$I$2:$I$1001,,0)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INDEX(products!$A$1:$G$49,MATCH(orders!$D537,products!$A$1:$A$49,0),MATCH(I$1,products!$A$1:$G$1,0))</f>
        <v>Lib</v>
      </c>
      <c r="J537" t="str">
        <f>INDEX(products!$A$1:$G$49,MATCH(orders!$D537,products!$A$1:$A$49,0),MATCH(J$1,products!$A$1:$G$1,0))</f>
        <v>L</v>
      </c>
      <c r="K537" s="6">
        <f>INDEX(products!$A$1:$G$49,MATCH(orders!$D537,products!$A$1:$A$49,0),MATCH(K$1,products!$A$1:$G$1,0))</f>
        <v>0.2</v>
      </c>
      <c r="L537" s="7">
        <f>INDEX(products!$A$1:$G$49,MATCH(orders!$D537,products!$A$1:$A$49,0),MATCH(L$1,products!$A$1:$G$1,0))</f>
        <v>4.7549999999999999</v>
      </c>
      <c r="M537" s="7">
        <f t="shared" si="24"/>
        <v>9.51</v>
      </c>
      <c r="N537" t="str">
        <f t="shared" si="25"/>
        <v>Liberica</v>
      </c>
      <c r="O537" t="str">
        <f t="shared" si="26"/>
        <v>Light</v>
      </c>
      <c r="P537" t="str">
        <f>_xlfn.XLOOKUP(Table1[[#This Row],[Customer ID]],customers!$A$2:$A$1001,customers!$I$2:$I$1001,,0)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INDEX(products!$A$1:$G$49,MATCH(orders!$D538,products!$A$1:$A$49,0),MATCH(I$1,products!$A$1:$G$1,0))</f>
        <v>Rob</v>
      </c>
      <c r="J538" t="str">
        <f>INDEX(products!$A$1:$G$49,MATCH(orders!$D538,products!$A$1:$A$49,0),MATCH(J$1,products!$A$1:$G$1,0))</f>
        <v>D</v>
      </c>
      <c r="K538" s="6">
        <f>INDEX(products!$A$1:$G$49,MATCH(orders!$D538,products!$A$1:$A$49,0),MATCH(K$1,products!$A$1:$G$1,0))</f>
        <v>0.2</v>
      </c>
      <c r="L538" s="7">
        <f>INDEX(products!$A$1:$G$49,MATCH(orders!$D538,products!$A$1:$A$49,0),MATCH(L$1,products!$A$1:$G$1,0))</f>
        <v>2.6849999999999996</v>
      </c>
      <c r="M538" s="7">
        <f t="shared" si="24"/>
        <v>8.0549999999999997</v>
      </c>
      <c r="N538" t="str">
        <f t="shared" si="25"/>
        <v>Robusta</v>
      </c>
      <c r="O538" t="str">
        <f t="shared" si="26"/>
        <v>Dark</v>
      </c>
      <c r="P538" t="str">
        <f>_xlfn.XLOOKUP(Table1[[#This Row],[Customer ID]],customers!$A$2:$A$1001,customers!$I$2:$I$1001,,0)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INDEX(products!$A$1:$G$49,MATCH(orders!$D539,products!$A$1:$A$49,0),MATCH(I$1,products!$A$1:$G$1,0))</f>
        <v>Exc</v>
      </c>
      <c r="J539" t="str">
        <f>INDEX(products!$A$1:$G$49,MATCH(orders!$D539,products!$A$1:$A$49,0),MATCH(J$1,products!$A$1:$G$1,0))</f>
        <v>D</v>
      </c>
      <c r="K539" s="6">
        <f>INDEX(products!$A$1:$G$49,MATCH(orders!$D539,products!$A$1:$A$49,0),MATCH(K$1,products!$A$1:$G$1,0))</f>
        <v>2.5</v>
      </c>
      <c r="L539" s="7">
        <f>INDEX(products!$A$1:$G$49,MATCH(orders!$D539,products!$A$1:$A$49,0),MATCH(L$1,products!$A$1:$G$1,0))</f>
        <v>27.945</v>
      </c>
      <c r="M539" s="7">
        <f t="shared" si="24"/>
        <v>111.78</v>
      </c>
      <c r="N539" t="str">
        <f t="shared" si="25"/>
        <v>Excelsa</v>
      </c>
      <c r="O539" t="str">
        <f t="shared" si="26"/>
        <v>Dark</v>
      </c>
      <c r="P539" t="str">
        <f>_xlfn.XLOOKUP(Table1[[#This Row],[Customer ID]],customers!$A$2:$A$1001,customers!$I$2:$I$1001,,0)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INDEX(products!$A$1:$G$49,MATCH(orders!$D540,products!$A$1:$A$49,0),MATCH(I$1,products!$A$1:$G$1,0))</f>
        <v>Rob</v>
      </c>
      <c r="J540" t="str">
        <f>INDEX(products!$A$1:$G$49,MATCH(orders!$D540,products!$A$1:$A$49,0),MATCH(J$1,products!$A$1:$G$1,0))</f>
        <v>D</v>
      </c>
      <c r="K540" s="6">
        <f>INDEX(products!$A$1:$G$49,MATCH(orders!$D540,products!$A$1:$A$49,0),MATCH(K$1,products!$A$1:$G$1,0))</f>
        <v>0.2</v>
      </c>
      <c r="L540" s="7">
        <f>INDEX(products!$A$1:$G$49,MATCH(orders!$D540,products!$A$1:$A$49,0),MATCH(L$1,products!$A$1:$G$1,0))</f>
        <v>2.6849999999999996</v>
      </c>
      <c r="M540" s="7">
        <f t="shared" si="24"/>
        <v>10.739999999999998</v>
      </c>
      <c r="N540" t="str">
        <f t="shared" si="25"/>
        <v>Robusta</v>
      </c>
      <c r="O540" t="str">
        <f t="shared" si="26"/>
        <v>Dark</v>
      </c>
      <c r="P540" t="str">
        <f>_xlfn.XLOOKUP(Table1[[#This Row],[Customer ID]],customers!$A$2:$A$1001,customers!$I$2:$I$1001,,0)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INDEX(products!$A$1:$G$49,MATCH(orders!$D541,products!$A$1:$A$49,0),MATCH(I$1,products!$A$1:$G$1,0))</f>
        <v>Rob</v>
      </c>
      <c r="J541" t="str">
        <f>INDEX(products!$A$1:$G$49,MATCH(orders!$D541,products!$A$1:$A$49,0),MATCH(J$1,products!$A$1:$G$1,0))</f>
        <v>D</v>
      </c>
      <c r="K541" s="6">
        <f>INDEX(products!$A$1:$G$49,MATCH(orders!$D541,products!$A$1:$A$49,0),MATCH(K$1,products!$A$1:$G$1,0))</f>
        <v>0.5</v>
      </c>
      <c r="L541" s="7">
        <f>INDEX(products!$A$1:$G$49,MATCH(orders!$D541,products!$A$1:$A$49,0),MATCH(L$1,products!$A$1:$G$1,0))</f>
        <v>5.3699999999999992</v>
      </c>
      <c r="M541" s="7">
        <f t="shared" si="24"/>
        <v>26.849999999999994</v>
      </c>
      <c r="N541" t="str">
        <f t="shared" si="25"/>
        <v>Robusta</v>
      </c>
      <c r="O541" t="str">
        <f t="shared" si="26"/>
        <v>Dark</v>
      </c>
      <c r="P541" t="str">
        <f>_xlfn.XLOOKUP(Table1[[#This Row],[Customer ID]],customers!$A$2:$A$1001,customers!$I$2:$I$1001,,0)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INDEX(products!$A$1:$G$49,MATCH(orders!$D542,products!$A$1:$A$49,0),MATCH(I$1,products!$A$1:$G$1,0))</f>
        <v>Lib</v>
      </c>
      <c r="J542" t="str">
        <f>INDEX(products!$A$1:$G$49,MATCH(orders!$D542,products!$A$1:$A$49,0),MATCH(J$1,products!$A$1:$G$1,0))</f>
        <v>L</v>
      </c>
      <c r="K542" s="6">
        <f>INDEX(products!$A$1:$G$49,MATCH(orders!$D542,products!$A$1:$A$49,0),MATCH(K$1,products!$A$1:$G$1,0))</f>
        <v>1</v>
      </c>
      <c r="L542" s="7">
        <f>INDEX(products!$A$1:$G$49,MATCH(orders!$D542,products!$A$1:$A$49,0),MATCH(L$1,products!$A$1:$G$1,0))</f>
        <v>15.85</v>
      </c>
      <c r="M542" s="7">
        <f t="shared" si="24"/>
        <v>63.4</v>
      </c>
      <c r="N542" t="str">
        <f t="shared" si="25"/>
        <v>Liberica</v>
      </c>
      <c r="O542" t="str">
        <f t="shared" si="26"/>
        <v>Light</v>
      </c>
      <c r="P542" t="str">
        <f>_xlfn.XLOOKUP(Table1[[#This Row],[Customer ID]],customers!$A$2:$A$1001,customers!$I$2:$I$1001,,0)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INDEX(products!$A$1:$G$49,MATCH(orders!$D543,products!$A$1:$A$49,0),MATCH(I$1,products!$A$1:$G$1,0))</f>
        <v>Ara</v>
      </c>
      <c r="J543" t="str">
        <f>INDEX(products!$A$1:$G$49,MATCH(orders!$D543,products!$A$1:$A$49,0),MATCH(J$1,products!$A$1:$G$1,0))</f>
        <v>D</v>
      </c>
      <c r="K543" s="6">
        <f>INDEX(products!$A$1:$G$49,MATCH(orders!$D543,products!$A$1:$A$49,0),MATCH(K$1,products!$A$1:$G$1,0))</f>
        <v>2.5</v>
      </c>
      <c r="L543" s="7">
        <f>INDEX(products!$A$1:$G$49,MATCH(orders!$D543,products!$A$1:$A$49,0),MATCH(L$1,products!$A$1:$G$1,0))</f>
        <v>22.884999999999998</v>
      </c>
      <c r="M543" s="7">
        <f t="shared" si="24"/>
        <v>22.884999999999998</v>
      </c>
      <c r="N543" t="str">
        <f t="shared" si="25"/>
        <v>Arabica</v>
      </c>
      <c r="O543" t="str">
        <f t="shared" si="26"/>
        <v>Dark</v>
      </c>
      <c r="P543" t="str">
        <f>_xlfn.XLOOKUP(Table1[[#This Row],[Customer ID]],customers!$A$2:$A$1001,customers!$I$2:$I$1001,,0)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INDEX(products!$A$1:$G$49,MATCH(orders!$D544,products!$A$1:$A$49,0),MATCH(I$1,products!$A$1:$G$1,0))</f>
        <v>Ara</v>
      </c>
      <c r="J544" t="str">
        <f>INDEX(products!$A$1:$G$49,MATCH(orders!$D544,products!$A$1:$A$49,0),MATCH(J$1,products!$A$1:$G$1,0))</f>
        <v>M</v>
      </c>
      <c r="K544" s="6">
        <f>INDEX(products!$A$1:$G$49,MATCH(orders!$D544,products!$A$1:$A$49,0),MATCH(K$1,products!$A$1:$G$1,0))</f>
        <v>2.5</v>
      </c>
      <c r="L544" s="7">
        <f>INDEX(products!$A$1:$G$49,MATCH(orders!$D544,products!$A$1:$A$49,0),MATCH(L$1,products!$A$1:$G$1,0))</f>
        <v>25.874999999999996</v>
      </c>
      <c r="M544" s="7">
        <f t="shared" si="24"/>
        <v>103.49999999999999</v>
      </c>
      <c r="N544" t="str">
        <f t="shared" si="25"/>
        <v>Arabica</v>
      </c>
      <c r="O544" t="str">
        <f t="shared" si="26"/>
        <v>Medium</v>
      </c>
      <c r="P544" t="str">
        <f>_xlfn.XLOOKUP(Table1[[#This Row],[Customer ID]],customers!$A$2:$A$1001,customers!$I$2:$I$1001,,0)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INDEX(products!$A$1:$G$49,MATCH(orders!$D545,products!$A$1:$A$49,0),MATCH(I$1,products!$A$1:$G$1,0))</f>
        <v>Rob</v>
      </c>
      <c r="J545" t="str">
        <f>INDEX(products!$A$1:$G$49,MATCH(orders!$D545,products!$A$1:$A$49,0),MATCH(J$1,products!$A$1:$G$1,0))</f>
        <v>L</v>
      </c>
      <c r="K545" s="6">
        <f>INDEX(products!$A$1:$G$49,MATCH(orders!$D545,products!$A$1:$A$49,0),MATCH(K$1,products!$A$1:$G$1,0))</f>
        <v>2.5</v>
      </c>
      <c r="L545" s="7">
        <f>INDEX(products!$A$1:$G$49,MATCH(orders!$D545,products!$A$1:$A$49,0),MATCH(L$1,products!$A$1:$G$1,0))</f>
        <v>27.484999999999996</v>
      </c>
      <c r="M545" s="7">
        <f t="shared" si="24"/>
        <v>54.969999999999992</v>
      </c>
      <c r="N545" t="str">
        <f t="shared" si="25"/>
        <v>Robusta</v>
      </c>
      <c r="O545" t="str">
        <f t="shared" si="26"/>
        <v>Light</v>
      </c>
      <c r="P545" t="str">
        <f>_xlfn.XLOOKUP(Table1[[#This Row],[Customer ID]],customers!$A$2:$A$1001,customers!$I$2:$I$1001,,0)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INDEX(products!$A$1:$G$49,MATCH(orders!$D546,products!$A$1:$A$49,0),MATCH(I$1,products!$A$1:$G$1,0))</f>
        <v>Ara</v>
      </c>
      <c r="J546" t="str">
        <f>INDEX(products!$A$1:$G$49,MATCH(orders!$D546,products!$A$1:$A$49,0),MATCH(J$1,products!$A$1:$G$1,0))</f>
        <v>L</v>
      </c>
      <c r="K546" s="6">
        <f>INDEX(products!$A$1:$G$49,MATCH(orders!$D546,products!$A$1:$A$49,0),MATCH(K$1,products!$A$1:$G$1,0))</f>
        <v>0.5</v>
      </c>
      <c r="L546" s="7">
        <f>INDEX(products!$A$1:$G$49,MATCH(orders!$D546,products!$A$1:$A$49,0),MATCH(L$1,products!$A$1:$G$1,0))</f>
        <v>7.77</v>
      </c>
      <c r="M546" s="7">
        <f t="shared" si="24"/>
        <v>15.54</v>
      </c>
      <c r="N546" t="str">
        <f t="shared" si="25"/>
        <v>Arabica</v>
      </c>
      <c r="O546" t="str">
        <f t="shared" si="26"/>
        <v>Light</v>
      </c>
      <c r="P546" t="str">
        <f>_xlfn.XLOOKUP(Table1[[#This Row],[Customer ID]],customers!$A$2:$A$1001,customers!$I$2:$I$1001,,0)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INDEX(products!$A$1:$G$49,MATCH(orders!$D547,products!$A$1:$A$49,0),MATCH(I$1,products!$A$1:$G$1,0))</f>
        <v>Lib</v>
      </c>
      <c r="J547" t="str">
        <f>INDEX(products!$A$1:$G$49,MATCH(orders!$D547,products!$A$1:$A$49,0),MATCH(J$1,products!$A$1:$G$1,0))</f>
        <v>D</v>
      </c>
      <c r="K547" s="6">
        <f>INDEX(products!$A$1:$G$49,MATCH(orders!$D547,products!$A$1:$A$49,0),MATCH(K$1,products!$A$1:$G$1,0))</f>
        <v>0.2</v>
      </c>
      <c r="L547" s="7">
        <f>INDEX(products!$A$1:$G$49,MATCH(orders!$D547,products!$A$1:$A$49,0),MATCH(L$1,products!$A$1:$G$1,0))</f>
        <v>3.8849999999999998</v>
      </c>
      <c r="M547" s="7">
        <f t="shared" si="24"/>
        <v>15.54</v>
      </c>
      <c r="N547" t="str">
        <f t="shared" si="25"/>
        <v>Liberica</v>
      </c>
      <c r="O547" t="str">
        <f t="shared" si="26"/>
        <v>Dark</v>
      </c>
      <c r="P547" t="str">
        <f>_xlfn.XLOOKUP(Table1[[#This Row],[Customer ID]],customers!$A$2:$A$1001,customers!$I$2:$I$1001,,0)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INDEX(products!$A$1:$G$49,MATCH(orders!$D548,products!$A$1:$A$49,0),MATCH(I$1,products!$A$1:$G$1,0))</f>
        <v>Exc</v>
      </c>
      <c r="J548" t="str">
        <f>INDEX(products!$A$1:$G$49,MATCH(orders!$D548,products!$A$1:$A$49,0),MATCH(J$1,products!$A$1:$G$1,0))</f>
        <v>D</v>
      </c>
      <c r="K548" s="6">
        <f>INDEX(products!$A$1:$G$49,MATCH(orders!$D548,products!$A$1:$A$49,0),MATCH(K$1,products!$A$1:$G$1,0))</f>
        <v>2.5</v>
      </c>
      <c r="L548" s="7">
        <f>INDEX(products!$A$1:$G$49,MATCH(orders!$D548,products!$A$1:$A$49,0),MATCH(L$1,products!$A$1:$G$1,0))</f>
        <v>27.945</v>
      </c>
      <c r="M548" s="7">
        <f t="shared" si="24"/>
        <v>83.835000000000008</v>
      </c>
      <c r="N548" t="str">
        <f t="shared" si="25"/>
        <v>Excelsa</v>
      </c>
      <c r="O548" t="str">
        <f t="shared" si="26"/>
        <v>Dark</v>
      </c>
      <c r="P548" t="str">
        <f>_xlfn.XLOOKUP(Table1[[#This Row],[Customer ID]],customers!$A$2:$A$1001,customers!$I$2:$I$1001,,0)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INDEX(products!$A$1:$G$49,MATCH(orders!$D549,products!$A$1:$A$49,0),MATCH(I$1,products!$A$1:$G$1,0))</f>
        <v>Rob</v>
      </c>
      <c r="J549" t="str">
        <f>INDEX(products!$A$1:$G$49,MATCH(orders!$D549,products!$A$1:$A$49,0),MATCH(J$1,products!$A$1:$G$1,0))</f>
        <v>L</v>
      </c>
      <c r="K549" s="6">
        <f>INDEX(products!$A$1:$G$49,MATCH(orders!$D549,products!$A$1:$A$49,0),MATCH(K$1,products!$A$1:$G$1,0))</f>
        <v>0.2</v>
      </c>
      <c r="L549" s="7">
        <f>INDEX(products!$A$1:$G$49,MATCH(orders!$D549,products!$A$1:$A$49,0),MATCH(L$1,products!$A$1:$G$1,0))</f>
        <v>3.5849999999999995</v>
      </c>
      <c r="M549" s="7">
        <f t="shared" si="24"/>
        <v>10.754999999999999</v>
      </c>
      <c r="N549" t="str">
        <f t="shared" si="25"/>
        <v>Robusta</v>
      </c>
      <c r="O549" t="str">
        <f t="shared" si="26"/>
        <v>Light</v>
      </c>
      <c r="P549" t="str">
        <f>_xlfn.XLOOKUP(Table1[[#This Row],[Customer ID]],customers!$A$2:$A$1001,customers!$I$2:$I$1001,,0)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INDEX(products!$A$1:$G$49,MATCH(orders!$D550,products!$A$1:$A$49,0),MATCH(I$1,products!$A$1:$G$1,0))</f>
        <v>Exc</v>
      </c>
      <c r="J550" t="str">
        <f>INDEX(products!$A$1:$G$49,MATCH(orders!$D550,products!$A$1:$A$49,0),MATCH(J$1,products!$A$1:$G$1,0))</f>
        <v>L</v>
      </c>
      <c r="K550" s="6">
        <f>INDEX(products!$A$1:$G$49,MATCH(orders!$D550,products!$A$1:$A$49,0),MATCH(K$1,products!$A$1:$G$1,0))</f>
        <v>0.2</v>
      </c>
      <c r="L550" s="7">
        <f>INDEX(products!$A$1:$G$49,MATCH(orders!$D550,products!$A$1:$A$49,0),MATCH(L$1,products!$A$1:$G$1,0))</f>
        <v>4.4550000000000001</v>
      </c>
      <c r="M550" s="7">
        <f t="shared" si="24"/>
        <v>13.365</v>
      </c>
      <c r="N550" t="str">
        <f t="shared" si="25"/>
        <v>Excelsa</v>
      </c>
      <c r="O550" t="str">
        <f t="shared" si="26"/>
        <v>Light</v>
      </c>
      <c r="P550" t="str">
        <f>_xlfn.XLOOKUP(Table1[[#This Row],[Customer ID]],customers!$A$2:$A$1001,customers!$I$2:$I$1001,,0)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INDEX(products!$A$1:$G$49,MATCH(orders!$D551,products!$A$1:$A$49,0),MATCH(I$1,products!$A$1:$G$1,0))</f>
        <v>Exc</v>
      </c>
      <c r="J551" t="str">
        <f>INDEX(products!$A$1:$G$49,MATCH(orders!$D551,products!$A$1:$A$49,0),MATCH(J$1,products!$A$1:$G$1,0))</f>
        <v>L</v>
      </c>
      <c r="K551" s="6">
        <f>INDEX(products!$A$1:$G$49,MATCH(orders!$D551,products!$A$1:$A$49,0),MATCH(K$1,products!$A$1:$G$1,0))</f>
        <v>0.2</v>
      </c>
      <c r="L551" s="7">
        <f>INDEX(products!$A$1:$G$49,MATCH(orders!$D551,products!$A$1:$A$49,0),MATCH(L$1,products!$A$1:$G$1,0))</f>
        <v>4.4550000000000001</v>
      </c>
      <c r="M551" s="7">
        <f t="shared" si="24"/>
        <v>17.82</v>
      </c>
      <c r="N551" t="str">
        <f t="shared" si="25"/>
        <v>Excelsa</v>
      </c>
      <c r="O551" t="str">
        <f t="shared" si="26"/>
        <v>Light</v>
      </c>
      <c r="P551" t="str">
        <f>_xlfn.XLOOKUP(Table1[[#This Row],[Customer ID]],customers!$A$2:$A$1001,customers!$I$2:$I$1001,,0)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INDEX(products!$A$1:$G$49,MATCH(orders!$D552,products!$A$1:$A$49,0),MATCH(I$1,products!$A$1:$G$1,0))</f>
        <v>Lib</v>
      </c>
      <c r="J552" t="str">
        <f>INDEX(products!$A$1:$G$49,MATCH(orders!$D552,products!$A$1:$A$49,0),MATCH(J$1,products!$A$1:$G$1,0))</f>
        <v>D</v>
      </c>
      <c r="K552" s="6">
        <f>INDEX(products!$A$1:$G$49,MATCH(orders!$D552,products!$A$1:$A$49,0),MATCH(K$1,products!$A$1:$G$1,0))</f>
        <v>0.2</v>
      </c>
      <c r="L552" s="7">
        <f>INDEX(products!$A$1:$G$49,MATCH(orders!$D552,products!$A$1:$A$49,0),MATCH(L$1,products!$A$1:$G$1,0))</f>
        <v>3.8849999999999998</v>
      </c>
      <c r="M552" s="7">
        <f t="shared" si="24"/>
        <v>23.31</v>
      </c>
      <c r="N552" t="str">
        <f t="shared" si="25"/>
        <v>Liberica</v>
      </c>
      <c r="O552" t="str">
        <f t="shared" si="26"/>
        <v>Dark</v>
      </c>
      <c r="P552" t="str">
        <f>_xlfn.XLOOKUP(Table1[[#This Row],[Customer ID]],customers!$A$2:$A$1001,customers!$I$2:$I$1001,,0)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INDEX(products!$A$1:$G$49,MATCH(orders!$D553,products!$A$1:$A$49,0),MATCH(I$1,products!$A$1:$G$1,0))</f>
        <v>Exc</v>
      </c>
      <c r="J553" t="str">
        <f>INDEX(products!$A$1:$G$49,MATCH(orders!$D553,products!$A$1:$A$49,0),MATCH(J$1,products!$A$1:$G$1,0))</f>
        <v>D</v>
      </c>
      <c r="K553" s="6">
        <f>INDEX(products!$A$1:$G$49,MATCH(orders!$D553,products!$A$1:$A$49,0),MATCH(K$1,products!$A$1:$G$1,0))</f>
        <v>0.2</v>
      </c>
      <c r="L553" s="7">
        <f>INDEX(products!$A$1:$G$49,MATCH(orders!$D553,products!$A$1:$A$49,0),MATCH(L$1,products!$A$1:$G$1,0))</f>
        <v>3.645</v>
      </c>
      <c r="M553" s="7">
        <f t="shared" si="24"/>
        <v>7.29</v>
      </c>
      <c r="N553" t="str">
        <f t="shared" si="25"/>
        <v>Excelsa</v>
      </c>
      <c r="O553" t="str">
        <f t="shared" si="26"/>
        <v>Dark</v>
      </c>
      <c r="P553" t="str">
        <f>_xlfn.XLOOKUP(Table1[[#This Row],[Customer ID]],customers!$A$2:$A$1001,customers!$I$2:$I$1001,,0)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INDEX(products!$A$1:$G$49,MATCH(orders!$D554,products!$A$1:$A$49,0),MATCH(I$1,products!$A$1:$G$1,0))</f>
        <v>Exc</v>
      </c>
      <c r="J554" t="str">
        <f>INDEX(products!$A$1:$G$49,MATCH(orders!$D554,products!$A$1:$A$49,0),MATCH(J$1,products!$A$1:$G$1,0))</f>
        <v>L</v>
      </c>
      <c r="K554" s="6">
        <f>INDEX(products!$A$1:$G$49,MATCH(orders!$D554,products!$A$1:$A$49,0),MATCH(K$1,products!$A$1:$G$1,0))</f>
        <v>0.2</v>
      </c>
      <c r="L554" s="7">
        <f>INDEX(products!$A$1:$G$49,MATCH(orders!$D554,products!$A$1:$A$49,0),MATCH(L$1,products!$A$1:$G$1,0))</f>
        <v>4.4550000000000001</v>
      </c>
      <c r="M554" s="7">
        <f t="shared" si="24"/>
        <v>17.82</v>
      </c>
      <c r="N554" t="str">
        <f t="shared" si="25"/>
        <v>Excelsa</v>
      </c>
      <c r="O554" t="str">
        <f t="shared" si="26"/>
        <v>Light</v>
      </c>
      <c r="P554" t="str">
        <f>_xlfn.XLOOKUP(Table1[[#This Row],[Customer ID]],customers!$A$2:$A$1001,customers!$I$2:$I$1001,,0)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INDEX(products!$A$1:$G$49,MATCH(orders!$D555,products!$A$1:$A$49,0),MATCH(I$1,products!$A$1:$G$1,0))</f>
        <v>Exc</v>
      </c>
      <c r="J555" t="str">
        <f>INDEX(products!$A$1:$G$49,MATCH(orders!$D555,products!$A$1:$A$49,0),MATCH(J$1,products!$A$1:$G$1,0))</f>
        <v>M</v>
      </c>
      <c r="K555" s="6">
        <f>INDEX(products!$A$1:$G$49,MATCH(orders!$D555,products!$A$1:$A$49,0),MATCH(K$1,products!$A$1:$G$1,0))</f>
        <v>1</v>
      </c>
      <c r="L555" s="7">
        <f>INDEX(products!$A$1:$G$49,MATCH(orders!$D555,products!$A$1:$A$49,0),MATCH(L$1,products!$A$1:$G$1,0))</f>
        <v>13.75</v>
      </c>
      <c r="M555" s="7">
        <f t="shared" si="24"/>
        <v>68.75</v>
      </c>
      <c r="N555" t="str">
        <f t="shared" si="25"/>
        <v>Excelsa</v>
      </c>
      <c r="O555" t="str">
        <f t="shared" si="26"/>
        <v>Medium</v>
      </c>
      <c r="P555" t="str">
        <f>_xlfn.XLOOKUP(Table1[[#This Row],[Customer ID]],customers!$A$2:$A$1001,customers!$I$2:$I$1001,,0)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INDEX(products!$A$1:$G$49,MATCH(orders!$D556,products!$A$1:$A$49,0),MATCH(I$1,products!$A$1:$G$1,0))</f>
        <v>Rob</v>
      </c>
      <c r="J556" t="str">
        <f>INDEX(products!$A$1:$G$49,MATCH(orders!$D556,products!$A$1:$A$49,0),MATCH(J$1,products!$A$1:$G$1,0))</f>
        <v>L</v>
      </c>
      <c r="K556" s="6">
        <f>INDEX(products!$A$1:$G$49,MATCH(orders!$D556,products!$A$1:$A$49,0),MATCH(K$1,products!$A$1:$G$1,0))</f>
        <v>2.5</v>
      </c>
      <c r="L556" s="7">
        <f>INDEX(products!$A$1:$G$49,MATCH(orders!$D556,products!$A$1:$A$49,0),MATCH(L$1,products!$A$1:$G$1,0))</f>
        <v>27.484999999999996</v>
      </c>
      <c r="M556" s="7">
        <f t="shared" si="24"/>
        <v>54.969999999999992</v>
      </c>
      <c r="N556" t="str">
        <f t="shared" si="25"/>
        <v>Robusta</v>
      </c>
      <c r="O556" t="str">
        <f t="shared" si="26"/>
        <v>Light</v>
      </c>
      <c r="P556" t="str">
        <f>_xlfn.XLOOKUP(Table1[[#This Row],[Customer ID]],customers!$A$2:$A$1001,customers!$I$2:$I$1001,,0)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INDEX(products!$A$1:$G$49,MATCH(orders!$D557,products!$A$1:$A$49,0),MATCH(I$1,products!$A$1:$G$1,0))</f>
        <v>Exc</v>
      </c>
      <c r="J557" t="str">
        <f>INDEX(products!$A$1:$G$49,MATCH(orders!$D557,products!$A$1:$A$49,0),MATCH(J$1,products!$A$1:$G$1,0))</f>
        <v>M</v>
      </c>
      <c r="K557" s="6">
        <f>INDEX(products!$A$1:$G$49,MATCH(orders!$D557,products!$A$1:$A$49,0),MATCH(K$1,products!$A$1:$G$1,0))</f>
        <v>1</v>
      </c>
      <c r="L557" s="7">
        <f>INDEX(products!$A$1:$G$49,MATCH(orders!$D557,products!$A$1:$A$49,0),MATCH(L$1,products!$A$1:$G$1,0))</f>
        <v>13.75</v>
      </c>
      <c r="M557" s="7">
        <f t="shared" si="24"/>
        <v>82.5</v>
      </c>
      <c r="N557" t="str">
        <f t="shared" si="25"/>
        <v>Excelsa</v>
      </c>
      <c r="O557" t="str">
        <f t="shared" si="26"/>
        <v>Medium</v>
      </c>
      <c r="P557" t="str">
        <f>_xlfn.XLOOKUP(Table1[[#This Row],[Customer ID]],customers!$A$2:$A$1001,customers!$I$2:$I$1001,,0)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INDEX(products!$A$1:$G$49,MATCH(orders!$D558,products!$A$1:$A$49,0),MATCH(I$1,products!$A$1:$G$1,0))</f>
        <v>Lib</v>
      </c>
      <c r="J558" t="str">
        <f>INDEX(products!$A$1:$G$49,MATCH(orders!$D558,products!$A$1:$A$49,0),MATCH(J$1,products!$A$1:$G$1,0))</f>
        <v>M</v>
      </c>
      <c r="K558" s="6">
        <f>INDEX(products!$A$1:$G$49,MATCH(orders!$D558,products!$A$1:$A$49,0),MATCH(K$1,products!$A$1:$G$1,0))</f>
        <v>0.2</v>
      </c>
      <c r="L558" s="7">
        <f>INDEX(products!$A$1:$G$49,MATCH(orders!$D558,products!$A$1:$A$49,0),MATCH(L$1,products!$A$1:$G$1,0))</f>
        <v>4.3650000000000002</v>
      </c>
      <c r="M558" s="7">
        <f t="shared" si="24"/>
        <v>8.73</v>
      </c>
      <c r="N558" t="str">
        <f t="shared" si="25"/>
        <v>Liberica</v>
      </c>
      <c r="O558" t="str">
        <f t="shared" si="26"/>
        <v>Medium</v>
      </c>
      <c r="P558" t="str">
        <f>_xlfn.XLOOKUP(Table1[[#This Row],[Customer ID]],customers!$A$2:$A$1001,customers!$I$2:$I$1001,,0)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INDEX(products!$A$1:$G$49,MATCH(orders!$D559,products!$A$1:$A$49,0),MATCH(I$1,products!$A$1:$G$1,0))</f>
        <v>Exc</v>
      </c>
      <c r="J559" t="str">
        <f>INDEX(products!$A$1:$G$49,MATCH(orders!$D559,products!$A$1:$A$49,0),MATCH(J$1,products!$A$1:$G$1,0))</f>
        <v>L</v>
      </c>
      <c r="K559" s="6">
        <f>INDEX(products!$A$1:$G$49,MATCH(orders!$D559,products!$A$1:$A$49,0),MATCH(K$1,products!$A$1:$G$1,0))</f>
        <v>1</v>
      </c>
      <c r="L559" s="7">
        <f>INDEX(products!$A$1:$G$49,MATCH(orders!$D559,products!$A$1:$A$49,0),MATCH(L$1,products!$A$1:$G$1,0))</f>
        <v>14.85</v>
      </c>
      <c r="M559" s="7">
        <f t="shared" si="24"/>
        <v>59.4</v>
      </c>
      <c r="N559" t="str">
        <f t="shared" si="25"/>
        <v>Excelsa</v>
      </c>
      <c r="O559" t="str">
        <f t="shared" si="26"/>
        <v>Light</v>
      </c>
      <c r="P559" t="str">
        <f>_xlfn.XLOOKUP(Table1[[#This Row],[Customer ID]],customers!$A$2:$A$1001,customers!$I$2:$I$1001,,0)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INDEX(products!$A$1:$G$49,MATCH(orders!$D560,products!$A$1:$A$49,0),MATCH(I$1,products!$A$1:$G$1,0))</f>
        <v>Lib</v>
      </c>
      <c r="J560" t="str">
        <f>INDEX(products!$A$1:$G$49,MATCH(orders!$D560,products!$A$1:$A$49,0),MATCH(J$1,products!$A$1:$G$1,0))</f>
        <v>D</v>
      </c>
      <c r="K560" s="6">
        <f>INDEX(products!$A$1:$G$49,MATCH(orders!$D560,products!$A$1:$A$49,0),MATCH(K$1,products!$A$1:$G$1,0))</f>
        <v>0.2</v>
      </c>
      <c r="L560" s="7">
        <f>INDEX(products!$A$1:$G$49,MATCH(orders!$D560,products!$A$1:$A$49,0),MATCH(L$1,products!$A$1:$G$1,0))</f>
        <v>3.8849999999999998</v>
      </c>
      <c r="M560" s="7">
        <f t="shared" si="24"/>
        <v>15.54</v>
      </c>
      <c r="N560" t="str">
        <f t="shared" si="25"/>
        <v>Liberica</v>
      </c>
      <c r="O560" t="str">
        <f t="shared" si="26"/>
        <v>Dark</v>
      </c>
      <c r="P560" t="str">
        <f>_xlfn.XLOOKUP(Table1[[#This Row],[Customer ID]],customers!$A$2:$A$1001,customers!$I$2:$I$1001,,0)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INDEX(products!$A$1:$G$49,MATCH(orders!$D561,products!$A$1:$A$49,0),MATCH(I$1,products!$A$1:$G$1,0))</f>
        <v>Ara</v>
      </c>
      <c r="J561" t="str">
        <f>INDEX(products!$A$1:$G$49,MATCH(orders!$D561,products!$A$1:$A$49,0),MATCH(J$1,products!$A$1:$G$1,0))</f>
        <v>L</v>
      </c>
      <c r="K561" s="6">
        <f>INDEX(products!$A$1:$G$49,MATCH(orders!$D561,products!$A$1:$A$49,0),MATCH(K$1,products!$A$1:$G$1,0))</f>
        <v>1</v>
      </c>
      <c r="L561" s="7">
        <f>INDEX(products!$A$1:$G$49,MATCH(orders!$D561,products!$A$1:$A$49,0),MATCH(L$1,products!$A$1:$G$1,0))</f>
        <v>12.95</v>
      </c>
      <c r="M561" s="7">
        <f t="shared" si="24"/>
        <v>38.849999999999994</v>
      </c>
      <c r="N561" t="str">
        <f t="shared" si="25"/>
        <v>Arabica</v>
      </c>
      <c r="O561" t="str">
        <f t="shared" si="26"/>
        <v>Light</v>
      </c>
      <c r="P561" t="str">
        <f>_xlfn.XLOOKUP(Table1[[#This Row],[Customer ID]],customers!$A$2:$A$1001,customers!$I$2:$I$1001,,0)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INDEX(products!$A$1:$G$49,MATCH(orders!$D562,products!$A$1:$A$49,0),MATCH(I$1,products!$A$1:$G$1,0))</f>
        <v>Exc</v>
      </c>
      <c r="J562" t="str">
        <f>INDEX(products!$A$1:$G$49,MATCH(orders!$D562,products!$A$1:$A$49,0),MATCH(J$1,products!$A$1:$G$1,0))</f>
        <v>M</v>
      </c>
      <c r="K562" s="6">
        <f>INDEX(products!$A$1:$G$49,MATCH(orders!$D562,products!$A$1:$A$49,0),MATCH(K$1,products!$A$1:$G$1,0))</f>
        <v>2.5</v>
      </c>
      <c r="L562" s="7">
        <f>INDEX(products!$A$1:$G$49,MATCH(orders!$D562,products!$A$1:$A$49,0),MATCH(L$1,products!$A$1:$G$1,0))</f>
        <v>31.624999999999996</v>
      </c>
      <c r="M562" s="7">
        <f t="shared" si="24"/>
        <v>189.74999999999997</v>
      </c>
      <c r="N562" t="str">
        <f t="shared" si="25"/>
        <v>Excelsa</v>
      </c>
      <c r="O562" t="str">
        <f t="shared" si="26"/>
        <v>Medium</v>
      </c>
      <c r="P562" t="str">
        <f>_xlfn.XLOOKUP(Table1[[#This Row],[Customer ID]],customers!$A$2:$A$1001,customers!$I$2:$I$1001,,0)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INDEX(products!$A$1:$G$49,MATCH(orders!$D563,products!$A$1:$A$49,0),MATCH(I$1,products!$A$1:$G$1,0))</f>
        <v>Ara</v>
      </c>
      <c r="J563" t="str">
        <f>INDEX(products!$A$1:$G$49,MATCH(orders!$D563,products!$A$1:$A$49,0),MATCH(J$1,products!$A$1:$G$1,0))</f>
        <v>D</v>
      </c>
      <c r="K563" s="6">
        <f>INDEX(products!$A$1:$G$49,MATCH(orders!$D563,products!$A$1:$A$49,0),MATCH(K$1,products!$A$1:$G$1,0))</f>
        <v>0.2</v>
      </c>
      <c r="L563" s="7">
        <f>INDEX(products!$A$1:$G$49,MATCH(orders!$D563,products!$A$1:$A$49,0),MATCH(L$1,products!$A$1:$G$1,0))</f>
        <v>2.9849999999999999</v>
      </c>
      <c r="M563" s="7">
        <f t="shared" si="24"/>
        <v>17.91</v>
      </c>
      <c r="N563" t="str">
        <f t="shared" si="25"/>
        <v>Arabica</v>
      </c>
      <c r="O563" t="str">
        <f t="shared" si="26"/>
        <v>Dark</v>
      </c>
      <c r="P563" t="str">
        <f>_xlfn.XLOOKUP(Table1[[#This Row],[Customer ID]],customers!$A$2:$A$1001,customers!$I$2:$I$1001,,0)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INDEX(products!$A$1:$G$49,MATCH(orders!$D564,products!$A$1:$A$49,0),MATCH(I$1,products!$A$1:$G$1,0))</f>
        <v>Lib</v>
      </c>
      <c r="J564" t="str">
        <f>INDEX(products!$A$1:$G$49,MATCH(orders!$D564,products!$A$1:$A$49,0),MATCH(J$1,products!$A$1:$G$1,0))</f>
        <v>L</v>
      </c>
      <c r="K564" s="6">
        <f>INDEX(products!$A$1:$G$49,MATCH(orders!$D564,products!$A$1:$A$49,0),MATCH(K$1,products!$A$1:$G$1,0))</f>
        <v>0.2</v>
      </c>
      <c r="L564" s="7">
        <f>INDEX(products!$A$1:$G$49,MATCH(orders!$D564,products!$A$1:$A$49,0),MATCH(L$1,products!$A$1:$G$1,0))</f>
        <v>4.7549999999999999</v>
      </c>
      <c r="M564" s="7">
        <f t="shared" si="24"/>
        <v>28.53</v>
      </c>
      <c r="N564" t="str">
        <f t="shared" si="25"/>
        <v>Liberica</v>
      </c>
      <c r="O564" t="str">
        <f t="shared" si="26"/>
        <v>Light</v>
      </c>
      <c r="P564" t="str">
        <f>_xlfn.XLOOKUP(Table1[[#This Row],[Customer ID]],customers!$A$2:$A$1001,customers!$I$2:$I$1001,,0)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INDEX(products!$A$1:$G$49,MATCH(orders!$D565,products!$A$1:$A$49,0),MATCH(I$1,products!$A$1:$G$1,0))</f>
        <v>Exc</v>
      </c>
      <c r="J565" t="str">
        <f>INDEX(products!$A$1:$G$49,MATCH(orders!$D565,products!$A$1:$A$49,0),MATCH(J$1,products!$A$1:$G$1,0))</f>
        <v>M</v>
      </c>
      <c r="K565" s="6">
        <f>INDEX(products!$A$1:$G$49,MATCH(orders!$D565,products!$A$1:$A$49,0),MATCH(K$1,products!$A$1:$G$1,0))</f>
        <v>1</v>
      </c>
      <c r="L565" s="7">
        <f>INDEX(products!$A$1:$G$49,MATCH(orders!$D565,products!$A$1:$A$49,0),MATCH(L$1,products!$A$1:$G$1,0))</f>
        <v>13.75</v>
      </c>
      <c r="M565" s="7">
        <f t="shared" si="24"/>
        <v>82.5</v>
      </c>
      <c r="N565" t="str">
        <f t="shared" si="25"/>
        <v>Excelsa</v>
      </c>
      <c r="O565" t="str">
        <f t="shared" si="26"/>
        <v>Medium</v>
      </c>
      <c r="P565" t="str">
        <f>_xlfn.XLOOKUP(Table1[[#This Row],[Customer ID]],customers!$A$2:$A$1001,customers!$I$2:$I$1001,,0)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INDEX(products!$A$1:$G$49,MATCH(orders!$D566,products!$A$1:$A$49,0),MATCH(I$1,products!$A$1:$G$1,0))</f>
        <v>Rob</v>
      </c>
      <c r="J566" t="str">
        <f>INDEX(products!$A$1:$G$49,MATCH(orders!$D566,products!$A$1:$A$49,0),MATCH(J$1,products!$A$1:$G$1,0))</f>
        <v>L</v>
      </c>
      <c r="K566" s="6">
        <f>INDEX(products!$A$1:$G$49,MATCH(orders!$D566,products!$A$1:$A$49,0),MATCH(K$1,products!$A$1:$G$1,0))</f>
        <v>0.5</v>
      </c>
      <c r="L566" s="7">
        <f>INDEX(products!$A$1:$G$49,MATCH(orders!$D566,products!$A$1:$A$49,0),MATCH(L$1,products!$A$1:$G$1,0))</f>
        <v>7.169999999999999</v>
      </c>
      <c r="M566" s="7">
        <f t="shared" si="24"/>
        <v>14.339999999999998</v>
      </c>
      <c r="N566" t="str">
        <f t="shared" si="25"/>
        <v>Robusta</v>
      </c>
      <c r="O566" t="str">
        <f t="shared" si="26"/>
        <v>Light</v>
      </c>
      <c r="P566" t="str">
        <f>_xlfn.XLOOKUP(Table1[[#This Row],[Customer ID]],customers!$A$2:$A$1001,customers!$I$2:$I$1001,,0)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INDEX(products!$A$1:$G$49,MATCH(orders!$D567,products!$A$1:$A$49,0),MATCH(I$1,products!$A$1:$G$1,0))</f>
        <v>Rob</v>
      </c>
      <c r="J567" t="str">
        <f>INDEX(products!$A$1:$G$49,MATCH(orders!$D567,products!$A$1:$A$49,0),MATCH(J$1,products!$A$1:$G$1,0))</f>
        <v>D</v>
      </c>
      <c r="K567" s="6">
        <f>INDEX(products!$A$1:$G$49,MATCH(orders!$D567,products!$A$1:$A$49,0),MATCH(K$1,products!$A$1:$G$1,0))</f>
        <v>2.5</v>
      </c>
      <c r="L567" s="7">
        <f>INDEX(products!$A$1:$G$49,MATCH(orders!$D567,products!$A$1:$A$49,0),MATCH(L$1,products!$A$1:$G$1,0))</f>
        <v>20.584999999999997</v>
      </c>
      <c r="M567" s="7">
        <f t="shared" si="24"/>
        <v>82.339999999999989</v>
      </c>
      <c r="N567" t="str">
        <f t="shared" si="25"/>
        <v>Robusta</v>
      </c>
      <c r="O567" t="str">
        <f t="shared" si="26"/>
        <v>Dark</v>
      </c>
      <c r="P567" t="str">
        <f>_xlfn.XLOOKUP(Table1[[#This Row],[Customer ID]],customers!$A$2:$A$1001,customers!$I$2:$I$1001,,0)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INDEX(products!$A$1:$G$49,MATCH(orders!$D568,products!$A$1:$A$49,0),MATCH(I$1,products!$A$1:$G$1,0))</f>
        <v>Ara</v>
      </c>
      <c r="J568" t="str">
        <f>INDEX(products!$A$1:$G$49,MATCH(orders!$D568,products!$A$1:$A$49,0),MATCH(J$1,products!$A$1:$G$1,0))</f>
        <v>M</v>
      </c>
      <c r="K568" s="6">
        <f>INDEX(products!$A$1:$G$49,MATCH(orders!$D568,products!$A$1:$A$49,0),MATCH(K$1,products!$A$1:$G$1,0))</f>
        <v>0.2</v>
      </c>
      <c r="L568" s="7">
        <f>INDEX(products!$A$1:$G$49,MATCH(orders!$D568,products!$A$1:$A$49,0),MATCH(L$1,products!$A$1:$G$1,0))</f>
        <v>3.375</v>
      </c>
      <c r="M568" s="7">
        <f t="shared" si="24"/>
        <v>20.25</v>
      </c>
      <c r="N568" t="str">
        <f t="shared" si="25"/>
        <v>Arabica</v>
      </c>
      <c r="O568" t="str">
        <f t="shared" si="26"/>
        <v>Medium</v>
      </c>
      <c r="P568" t="str">
        <f>_xlfn.XLOOKUP(Table1[[#This Row],[Customer ID]],customers!$A$2:$A$1001,customers!$I$2:$I$1001,,0)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INDEX(products!$A$1:$G$49,MATCH(orders!$D569,products!$A$1:$A$49,0),MATCH(I$1,products!$A$1:$G$1,0))</f>
        <v>Rob</v>
      </c>
      <c r="J569" t="str">
        <f>INDEX(products!$A$1:$G$49,MATCH(orders!$D569,products!$A$1:$A$49,0),MATCH(J$1,products!$A$1:$G$1,0))</f>
        <v>L</v>
      </c>
      <c r="K569" s="6">
        <f>INDEX(products!$A$1:$G$49,MATCH(orders!$D569,products!$A$1:$A$49,0),MATCH(K$1,products!$A$1:$G$1,0))</f>
        <v>2.5</v>
      </c>
      <c r="L569" s="7">
        <f>INDEX(products!$A$1:$G$49,MATCH(orders!$D569,products!$A$1:$A$49,0),MATCH(L$1,products!$A$1:$G$1,0))</f>
        <v>27.484999999999996</v>
      </c>
      <c r="M569" s="7">
        <f t="shared" si="24"/>
        <v>164.90999999999997</v>
      </c>
      <c r="N569" t="str">
        <f t="shared" si="25"/>
        <v>Robusta</v>
      </c>
      <c r="O569" t="str">
        <f t="shared" si="26"/>
        <v>Light</v>
      </c>
      <c r="P569" t="str">
        <f>_xlfn.XLOOKUP(Table1[[#This Row],[Customer ID]],customers!$A$2:$A$1001,customers!$I$2:$I$1001,,0)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INDEX(products!$A$1:$G$49,MATCH(orders!$D570,products!$A$1:$A$49,0),MATCH(I$1,products!$A$1:$G$1,0))</f>
        <v>Lib</v>
      </c>
      <c r="J570" t="str">
        <f>INDEX(products!$A$1:$G$49,MATCH(orders!$D570,products!$A$1:$A$49,0),MATCH(J$1,products!$A$1:$G$1,0))</f>
        <v>L</v>
      </c>
      <c r="K570" s="6">
        <f>INDEX(products!$A$1:$G$49,MATCH(orders!$D570,products!$A$1:$A$49,0),MATCH(K$1,products!$A$1:$G$1,0))</f>
        <v>0.2</v>
      </c>
      <c r="L570" s="7">
        <f>INDEX(products!$A$1:$G$49,MATCH(orders!$D570,products!$A$1:$A$49,0),MATCH(L$1,products!$A$1:$G$1,0))</f>
        <v>4.7549999999999999</v>
      </c>
      <c r="M570" s="7">
        <f t="shared" si="24"/>
        <v>19.02</v>
      </c>
      <c r="N570" t="str">
        <f t="shared" si="25"/>
        <v>Liberica</v>
      </c>
      <c r="O570" t="str">
        <f t="shared" si="26"/>
        <v>Light</v>
      </c>
      <c r="P570" t="str">
        <f>_xlfn.XLOOKUP(Table1[[#This Row],[Customer ID]],customers!$A$2:$A$1001,customers!$I$2:$I$1001,,0)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INDEX(products!$A$1:$G$49,MATCH(orders!$D571,products!$A$1:$A$49,0),MATCH(I$1,products!$A$1:$G$1,0))</f>
        <v>Ara</v>
      </c>
      <c r="J571" t="str">
        <f>INDEX(products!$A$1:$G$49,MATCH(orders!$D571,products!$A$1:$A$49,0),MATCH(J$1,products!$A$1:$G$1,0))</f>
        <v>D</v>
      </c>
      <c r="K571" s="6">
        <f>INDEX(products!$A$1:$G$49,MATCH(orders!$D571,products!$A$1:$A$49,0),MATCH(K$1,products!$A$1:$G$1,0))</f>
        <v>2.5</v>
      </c>
      <c r="L571" s="7">
        <f>INDEX(products!$A$1:$G$49,MATCH(orders!$D571,products!$A$1:$A$49,0),MATCH(L$1,products!$A$1:$G$1,0))</f>
        <v>22.884999999999998</v>
      </c>
      <c r="M571" s="7">
        <f t="shared" si="24"/>
        <v>137.31</v>
      </c>
      <c r="N571" t="str">
        <f t="shared" si="25"/>
        <v>Arabica</v>
      </c>
      <c r="O571" t="str">
        <f t="shared" si="26"/>
        <v>Dark</v>
      </c>
      <c r="P571" t="str">
        <f>_xlfn.XLOOKUP(Table1[[#This Row],[Customer ID]],customers!$A$2:$A$1001,customers!$I$2:$I$1001,,0)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INDEX(products!$A$1:$G$49,MATCH(orders!$D572,products!$A$1:$A$49,0),MATCH(I$1,products!$A$1:$G$1,0))</f>
        <v>Ara</v>
      </c>
      <c r="J572" t="str">
        <f>INDEX(products!$A$1:$G$49,MATCH(orders!$D572,products!$A$1:$A$49,0),MATCH(J$1,products!$A$1:$G$1,0))</f>
        <v>M</v>
      </c>
      <c r="K572" s="6">
        <f>INDEX(products!$A$1:$G$49,MATCH(orders!$D572,products!$A$1:$A$49,0),MATCH(K$1,products!$A$1:$G$1,0))</f>
        <v>0.5</v>
      </c>
      <c r="L572" s="7">
        <f>INDEX(products!$A$1:$G$49,MATCH(orders!$D572,products!$A$1:$A$49,0),MATCH(L$1,products!$A$1:$G$1,0))</f>
        <v>6.75</v>
      </c>
      <c r="M572" s="7">
        <f t="shared" si="24"/>
        <v>27</v>
      </c>
      <c r="N572" t="str">
        <f t="shared" si="25"/>
        <v>Arabica</v>
      </c>
      <c r="O572" t="str">
        <f t="shared" si="26"/>
        <v>Medium</v>
      </c>
      <c r="P572" t="str">
        <f>_xlfn.XLOOKUP(Table1[[#This Row],[Customer ID]],customers!$A$2:$A$1001,customers!$I$2:$I$1001,,0)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INDEX(products!$A$1:$G$49,MATCH(orders!$D573,products!$A$1:$A$49,0),MATCH(I$1,products!$A$1:$G$1,0))</f>
        <v>Exc</v>
      </c>
      <c r="J573" t="str">
        <f>INDEX(products!$A$1:$G$49,MATCH(orders!$D573,products!$A$1:$A$49,0),MATCH(J$1,products!$A$1:$G$1,0))</f>
        <v>L</v>
      </c>
      <c r="K573" s="6">
        <f>INDEX(products!$A$1:$G$49,MATCH(orders!$D573,products!$A$1:$A$49,0),MATCH(K$1,products!$A$1:$G$1,0))</f>
        <v>0.5</v>
      </c>
      <c r="L573" s="7">
        <f>INDEX(products!$A$1:$G$49,MATCH(orders!$D573,products!$A$1:$A$49,0),MATCH(L$1,products!$A$1:$G$1,0))</f>
        <v>8.91</v>
      </c>
      <c r="M573" s="7">
        <f t="shared" si="24"/>
        <v>35.64</v>
      </c>
      <c r="N573" t="str">
        <f t="shared" si="25"/>
        <v>Excelsa</v>
      </c>
      <c r="O573" t="str">
        <f t="shared" si="26"/>
        <v>Light</v>
      </c>
      <c r="P573" t="str">
        <f>_xlfn.XLOOKUP(Table1[[#This Row],[Customer ID]],customers!$A$2:$A$1001,customers!$I$2:$I$1001,,0)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INDEX(products!$A$1:$G$49,MATCH(orders!$D574,products!$A$1:$A$49,0),MATCH(I$1,products!$A$1:$G$1,0))</f>
        <v>Ara</v>
      </c>
      <c r="J574" t="str">
        <f>INDEX(products!$A$1:$G$49,MATCH(orders!$D574,products!$A$1:$A$49,0),MATCH(J$1,products!$A$1:$G$1,0))</f>
        <v>D</v>
      </c>
      <c r="K574" s="6">
        <f>INDEX(products!$A$1:$G$49,MATCH(orders!$D574,products!$A$1:$A$49,0),MATCH(K$1,products!$A$1:$G$1,0))</f>
        <v>0.2</v>
      </c>
      <c r="L574" s="7">
        <f>INDEX(products!$A$1:$G$49,MATCH(orders!$D574,products!$A$1:$A$49,0),MATCH(L$1,products!$A$1:$G$1,0))</f>
        <v>2.9849999999999999</v>
      </c>
      <c r="M574" s="7">
        <f t="shared" si="24"/>
        <v>5.97</v>
      </c>
      <c r="N574" t="str">
        <f t="shared" si="25"/>
        <v>Arabica</v>
      </c>
      <c r="O574" t="str">
        <f t="shared" si="26"/>
        <v>Dark</v>
      </c>
      <c r="P574" t="str">
        <f>_xlfn.XLOOKUP(Table1[[#This Row],[Customer ID]],customers!$A$2:$A$1001,customers!$I$2:$I$1001,,0)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INDEX(products!$A$1:$G$49,MATCH(orders!$D575,products!$A$1:$A$49,0),MATCH(I$1,products!$A$1:$G$1,0))</f>
        <v>Ara</v>
      </c>
      <c r="J575" t="str">
        <f>INDEX(products!$A$1:$G$49,MATCH(orders!$D575,products!$A$1:$A$49,0),MATCH(J$1,products!$A$1:$G$1,0))</f>
        <v>M</v>
      </c>
      <c r="K575" s="6">
        <f>INDEX(products!$A$1:$G$49,MATCH(orders!$D575,products!$A$1:$A$49,0),MATCH(K$1,products!$A$1:$G$1,0))</f>
        <v>1</v>
      </c>
      <c r="L575" s="7">
        <f>INDEX(products!$A$1:$G$49,MATCH(orders!$D575,products!$A$1:$A$49,0),MATCH(L$1,products!$A$1:$G$1,0))</f>
        <v>11.25</v>
      </c>
      <c r="M575" s="7">
        <f t="shared" si="24"/>
        <v>67.5</v>
      </c>
      <c r="N575" t="str">
        <f t="shared" si="25"/>
        <v>Arabica</v>
      </c>
      <c r="O575" t="str">
        <f t="shared" si="26"/>
        <v>Medium</v>
      </c>
      <c r="P575" t="str">
        <f>_xlfn.XLOOKUP(Table1[[#This Row],[Customer ID]],customers!$A$2:$A$1001,customers!$I$2:$I$1001,,0)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INDEX(products!$A$1:$G$49,MATCH(orders!$D576,products!$A$1:$A$49,0),MATCH(I$1,products!$A$1:$G$1,0))</f>
        <v>Rob</v>
      </c>
      <c r="J576" t="str">
        <f>INDEX(products!$A$1:$G$49,MATCH(orders!$D576,products!$A$1:$A$49,0),MATCH(J$1,products!$A$1:$G$1,0))</f>
        <v>L</v>
      </c>
      <c r="K576" s="6">
        <f>INDEX(products!$A$1:$G$49,MATCH(orders!$D576,products!$A$1:$A$49,0),MATCH(K$1,products!$A$1:$G$1,0))</f>
        <v>0.2</v>
      </c>
      <c r="L576" s="7">
        <f>INDEX(products!$A$1:$G$49,MATCH(orders!$D576,products!$A$1:$A$49,0),MATCH(L$1,products!$A$1:$G$1,0))</f>
        <v>3.5849999999999995</v>
      </c>
      <c r="M576" s="7">
        <f t="shared" si="24"/>
        <v>21.509999999999998</v>
      </c>
      <c r="N576" t="str">
        <f t="shared" si="25"/>
        <v>Robusta</v>
      </c>
      <c r="O576" t="str">
        <f t="shared" si="26"/>
        <v>Light</v>
      </c>
      <c r="P576" t="str">
        <f>_xlfn.XLOOKUP(Table1[[#This Row],[Customer ID]],customers!$A$2:$A$1001,customers!$I$2:$I$1001,,0)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INDEX(products!$A$1:$G$49,MATCH(orders!$D577,products!$A$1:$A$49,0),MATCH(I$1,products!$A$1:$G$1,0))</f>
        <v>Lib</v>
      </c>
      <c r="J577" t="str">
        <f>INDEX(products!$A$1:$G$49,MATCH(orders!$D577,products!$A$1:$A$49,0),MATCH(J$1,products!$A$1:$G$1,0))</f>
        <v>M</v>
      </c>
      <c r="K577" s="6">
        <f>INDEX(products!$A$1:$G$49,MATCH(orders!$D577,products!$A$1:$A$49,0),MATCH(K$1,products!$A$1:$G$1,0))</f>
        <v>2.5</v>
      </c>
      <c r="L577" s="7">
        <f>INDEX(products!$A$1:$G$49,MATCH(orders!$D577,products!$A$1:$A$49,0),MATCH(L$1,products!$A$1:$G$1,0))</f>
        <v>33.464999999999996</v>
      </c>
      <c r="M577" s="7">
        <f t="shared" si="24"/>
        <v>66.929999999999993</v>
      </c>
      <c r="N577" t="str">
        <f t="shared" si="25"/>
        <v>Liberica</v>
      </c>
      <c r="O577" t="str">
        <f t="shared" si="26"/>
        <v>Medium</v>
      </c>
      <c r="P577" t="str">
        <f>_xlfn.XLOOKUP(Table1[[#This Row],[Customer ID]],customers!$A$2:$A$1001,customers!$I$2:$I$1001,,0)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INDEX(products!$A$1:$G$49,MATCH(orders!$D578,products!$A$1:$A$49,0),MATCH(I$1,products!$A$1:$G$1,0))</f>
        <v>Ara</v>
      </c>
      <c r="J578" t="str">
        <f>INDEX(products!$A$1:$G$49,MATCH(orders!$D578,products!$A$1:$A$49,0),MATCH(J$1,products!$A$1:$G$1,0))</f>
        <v>D</v>
      </c>
      <c r="K578" s="6">
        <f>INDEX(products!$A$1:$G$49,MATCH(orders!$D578,products!$A$1:$A$49,0),MATCH(K$1,products!$A$1:$G$1,0))</f>
        <v>0.2</v>
      </c>
      <c r="L578" s="7">
        <f>INDEX(products!$A$1:$G$49,MATCH(orders!$D578,products!$A$1:$A$49,0),MATCH(L$1,products!$A$1:$G$1,0))</f>
        <v>2.9849999999999999</v>
      </c>
      <c r="M578" s="7">
        <f t="shared" si="24"/>
        <v>17.91</v>
      </c>
      <c r="N578" t="str">
        <f t="shared" si="25"/>
        <v>Arabica</v>
      </c>
      <c r="O578" t="str">
        <f t="shared" si="26"/>
        <v>Dark</v>
      </c>
      <c r="P578" t="str">
        <f>_xlfn.XLOOKUP(Table1[[#This Row],[Customer ID]],customers!$A$2:$A$1001,customers!$I$2:$I$1001,,0)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INDEX(products!$A$1:$G$49,MATCH(orders!$D579,products!$A$1:$A$49,0),MATCH(I$1,products!$A$1:$G$1,0))</f>
        <v>Lib</v>
      </c>
      <c r="J579" t="str">
        <f>INDEX(products!$A$1:$G$49,MATCH(orders!$D579,products!$A$1:$A$49,0),MATCH(J$1,products!$A$1:$G$1,0))</f>
        <v>M</v>
      </c>
      <c r="K579" s="6">
        <f>INDEX(products!$A$1:$G$49,MATCH(orders!$D579,products!$A$1:$A$49,0),MATCH(K$1,products!$A$1:$G$1,0))</f>
        <v>1</v>
      </c>
      <c r="L579" s="7">
        <f>INDEX(products!$A$1:$G$49,MATCH(orders!$D579,products!$A$1:$A$49,0),MATCH(L$1,products!$A$1:$G$1,0))</f>
        <v>14.55</v>
      </c>
      <c r="M579" s="7">
        <f t="shared" ref="M579:M642" si="27">L579*E579</f>
        <v>58.2</v>
      </c>
      <c r="N579" t="str">
        <f t="shared" ref="N579:N642" si="28">IF(I579="Rob","Robusta",IF(I579="Exc","Excelsa",IF(I579="Ara","Arabica",IF(I579="Lib","Liberica",""))))</f>
        <v>Liberica</v>
      </c>
      <c r="O579" t="str">
        <f t="shared" ref="O579:O642" si="29">IF(J579="M","Medium",IF(J579="L","Light",IF(J579="D","Dark","")))</f>
        <v>Medium</v>
      </c>
      <c r="P579" t="str">
        <f>_xlfn.XLOOKUP(Table1[[#This Row],[Customer ID]],customers!$A$2:$A$1001,customers!$I$2:$I$1001,,0)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INDEX(products!$A$1:$G$49,MATCH(orders!$D580,products!$A$1:$A$49,0),MATCH(I$1,products!$A$1:$G$1,0))</f>
        <v>Exc</v>
      </c>
      <c r="J580" t="str">
        <f>INDEX(products!$A$1:$G$49,MATCH(orders!$D580,products!$A$1:$A$49,0),MATCH(J$1,products!$A$1:$G$1,0))</f>
        <v>L</v>
      </c>
      <c r="K580" s="6">
        <f>INDEX(products!$A$1:$G$49,MATCH(orders!$D580,products!$A$1:$A$49,0),MATCH(K$1,products!$A$1:$G$1,0))</f>
        <v>0.2</v>
      </c>
      <c r="L580" s="7">
        <f>INDEX(products!$A$1:$G$49,MATCH(orders!$D580,products!$A$1:$A$49,0),MATCH(L$1,products!$A$1:$G$1,0))</f>
        <v>4.4550000000000001</v>
      </c>
      <c r="M580" s="7">
        <f t="shared" si="27"/>
        <v>13.365</v>
      </c>
      <c r="N580" t="str">
        <f t="shared" si="28"/>
        <v>Excelsa</v>
      </c>
      <c r="O580" t="str">
        <f t="shared" si="29"/>
        <v>Light</v>
      </c>
      <c r="P580" t="str">
        <f>_xlfn.XLOOKUP(Table1[[#This Row],[Customer ID]],customers!$A$2:$A$1001,customers!$I$2:$I$1001,,0)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INDEX(products!$A$1:$G$49,MATCH(orders!$D581,products!$A$1:$A$49,0),MATCH(I$1,products!$A$1:$G$1,0))</f>
        <v>Ara</v>
      </c>
      <c r="J581" t="str">
        <f>INDEX(products!$A$1:$G$49,MATCH(orders!$D581,products!$A$1:$A$49,0),MATCH(J$1,products!$A$1:$G$1,0))</f>
        <v>M</v>
      </c>
      <c r="K581" s="6">
        <f>INDEX(products!$A$1:$G$49,MATCH(orders!$D581,products!$A$1:$A$49,0),MATCH(K$1,products!$A$1:$G$1,0))</f>
        <v>0.5</v>
      </c>
      <c r="L581" s="7">
        <f>INDEX(products!$A$1:$G$49,MATCH(orders!$D581,products!$A$1:$A$49,0),MATCH(L$1,products!$A$1:$G$1,0))</f>
        <v>6.75</v>
      </c>
      <c r="M581" s="7">
        <f t="shared" si="27"/>
        <v>33.75</v>
      </c>
      <c r="N581" t="str">
        <f t="shared" si="28"/>
        <v>Arabica</v>
      </c>
      <c r="O581" t="str">
        <f t="shared" si="29"/>
        <v>Medium</v>
      </c>
      <c r="P581" t="str">
        <f>_xlfn.XLOOKUP(Table1[[#This Row],[Customer ID]],customers!$A$2:$A$1001,customers!$I$2:$I$1001,,0)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INDEX(products!$A$1:$G$49,MATCH(orders!$D582,products!$A$1:$A$49,0),MATCH(I$1,products!$A$1:$G$1,0))</f>
        <v>Exc</v>
      </c>
      <c r="J582" t="str">
        <f>INDEX(products!$A$1:$G$49,MATCH(orders!$D582,products!$A$1:$A$49,0),MATCH(J$1,products!$A$1:$G$1,0))</f>
        <v>L</v>
      </c>
      <c r="K582" s="6">
        <f>INDEX(products!$A$1:$G$49,MATCH(orders!$D582,products!$A$1:$A$49,0),MATCH(K$1,products!$A$1:$G$1,0))</f>
        <v>1</v>
      </c>
      <c r="L582" s="7">
        <f>INDEX(products!$A$1:$G$49,MATCH(orders!$D582,products!$A$1:$A$49,0),MATCH(L$1,products!$A$1:$G$1,0))</f>
        <v>14.85</v>
      </c>
      <c r="M582" s="7">
        <f t="shared" si="27"/>
        <v>44.55</v>
      </c>
      <c r="N582" t="str">
        <f t="shared" si="28"/>
        <v>Excelsa</v>
      </c>
      <c r="O582" t="str">
        <f t="shared" si="29"/>
        <v>Light</v>
      </c>
      <c r="P582" t="str">
        <f>_xlfn.XLOOKUP(Table1[[#This Row],[Customer ID]],customers!$A$2:$A$1001,customers!$I$2:$I$1001,,0)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INDEX(products!$A$1:$G$49,MATCH(orders!$D583,products!$A$1:$A$49,0),MATCH(I$1,products!$A$1:$G$1,0))</f>
        <v>Exc</v>
      </c>
      <c r="J583" t="str">
        <f>INDEX(products!$A$1:$G$49,MATCH(orders!$D583,products!$A$1:$A$49,0),MATCH(J$1,products!$A$1:$G$1,0))</f>
        <v>L</v>
      </c>
      <c r="K583" s="6">
        <f>INDEX(products!$A$1:$G$49,MATCH(orders!$D583,products!$A$1:$A$49,0),MATCH(K$1,products!$A$1:$G$1,0))</f>
        <v>0.5</v>
      </c>
      <c r="L583" s="7">
        <f>INDEX(products!$A$1:$G$49,MATCH(orders!$D583,products!$A$1:$A$49,0),MATCH(L$1,products!$A$1:$G$1,0))</f>
        <v>8.91</v>
      </c>
      <c r="M583" s="7">
        <f t="shared" si="27"/>
        <v>44.55</v>
      </c>
      <c r="N583" t="str">
        <f t="shared" si="28"/>
        <v>Excelsa</v>
      </c>
      <c r="O583" t="str">
        <f t="shared" si="29"/>
        <v>Light</v>
      </c>
      <c r="P583" t="str">
        <f>_xlfn.XLOOKUP(Table1[[#This Row],[Customer ID]],customers!$A$2:$A$1001,customers!$I$2:$I$1001,,0)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INDEX(products!$A$1:$G$49,MATCH(orders!$D584,products!$A$1:$A$49,0),MATCH(I$1,products!$A$1:$G$1,0))</f>
        <v>Exc</v>
      </c>
      <c r="J584" t="str">
        <f>INDEX(products!$A$1:$G$49,MATCH(orders!$D584,products!$A$1:$A$49,0),MATCH(J$1,products!$A$1:$G$1,0))</f>
        <v>D</v>
      </c>
      <c r="K584" s="6">
        <f>INDEX(products!$A$1:$G$49,MATCH(orders!$D584,products!$A$1:$A$49,0),MATCH(K$1,products!$A$1:$G$1,0))</f>
        <v>1</v>
      </c>
      <c r="L584" s="7">
        <f>INDEX(products!$A$1:$G$49,MATCH(orders!$D584,products!$A$1:$A$49,0),MATCH(L$1,products!$A$1:$G$1,0))</f>
        <v>12.15</v>
      </c>
      <c r="M584" s="7">
        <f t="shared" si="27"/>
        <v>60.75</v>
      </c>
      <c r="N584" t="str">
        <f t="shared" si="28"/>
        <v>Excelsa</v>
      </c>
      <c r="O584" t="str">
        <f t="shared" si="29"/>
        <v>Dark</v>
      </c>
      <c r="P584" t="str">
        <f>_xlfn.XLOOKUP(Table1[[#This Row],[Customer ID]],customers!$A$2:$A$1001,customers!$I$2:$I$1001,,0)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INDEX(products!$A$1:$G$49,MATCH(orders!$D585,products!$A$1:$A$49,0),MATCH(I$1,products!$A$1:$G$1,0))</f>
        <v>Rob</v>
      </c>
      <c r="J585" t="str">
        <f>INDEX(products!$A$1:$G$49,MATCH(orders!$D585,products!$A$1:$A$49,0),MATCH(J$1,products!$A$1:$G$1,0))</f>
        <v>L</v>
      </c>
      <c r="K585" s="6">
        <f>INDEX(products!$A$1:$G$49,MATCH(orders!$D585,products!$A$1:$A$49,0),MATCH(K$1,products!$A$1:$G$1,0))</f>
        <v>0.2</v>
      </c>
      <c r="L585" s="7">
        <f>INDEX(products!$A$1:$G$49,MATCH(orders!$D585,products!$A$1:$A$49,0),MATCH(L$1,products!$A$1:$G$1,0))</f>
        <v>3.5849999999999995</v>
      </c>
      <c r="M585" s="7">
        <f t="shared" si="27"/>
        <v>3.5849999999999995</v>
      </c>
      <c r="N585" t="str">
        <f t="shared" si="28"/>
        <v>Robusta</v>
      </c>
      <c r="O585" t="str">
        <f t="shared" si="29"/>
        <v>Light</v>
      </c>
      <c r="P585" t="str">
        <f>_xlfn.XLOOKUP(Table1[[#This Row],[Customer ID]],customers!$A$2:$A$1001,customers!$I$2:$I$1001,,0)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INDEX(products!$A$1:$G$49,MATCH(orders!$D586,products!$A$1:$A$49,0),MATCH(I$1,products!$A$1:$G$1,0))</f>
        <v>Rob</v>
      </c>
      <c r="J586" t="str">
        <f>INDEX(products!$A$1:$G$49,MATCH(orders!$D586,products!$A$1:$A$49,0),MATCH(J$1,products!$A$1:$G$1,0))</f>
        <v>L</v>
      </c>
      <c r="K586" s="6">
        <f>INDEX(products!$A$1:$G$49,MATCH(orders!$D586,products!$A$1:$A$49,0),MATCH(K$1,products!$A$1:$G$1,0))</f>
        <v>0.2</v>
      </c>
      <c r="L586" s="7">
        <f>INDEX(products!$A$1:$G$49,MATCH(orders!$D586,products!$A$1:$A$49,0),MATCH(L$1,products!$A$1:$G$1,0))</f>
        <v>3.5849999999999995</v>
      </c>
      <c r="M586" s="7">
        <f t="shared" si="27"/>
        <v>21.509999999999998</v>
      </c>
      <c r="N586" t="str">
        <f t="shared" si="28"/>
        <v>Robusta</v>
      </c>
      <c r="O586" t="str">
        <f t="shared" si="29"/>
        <v>Light</v>
      </c>
      <c r="P586" t="str">
        <f>_xlfn.XLOOKUP(Table1[[#This Row],[Customer ID]],customers!$A$2:$A$1001,customers!$I$2:$I$1001,,0)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INDEX(products!$A$1:$G$49,MATCH(orders!$D587,products!$A$1:$A$49,0),MATCH(I$1,products!$A$1:$G$1,0))</f>
        <v>Exc</v>
      </c>
      <c r="J587" t="str">
        <f>INDEX(products!$A$1:$G$49,MATCH(orders!$D587,products!$A$1:$A$49,0),MATCH(J$1,products!$A$1:$G$1,0))</f>
        <v>M</v>
      </c>
      <c r="K587" s="6">
        <f>INDEX(products!$A$1:$G$49,MATCH(orders!$D587,products!$A$1:$A$49,0),MATCH(K$1,products!$A$1:$G$1,0))</f>
        <v>0.5</v>
      </c>
      <c r="L587" s="7">
        <f>INDEX(products!$A$1:$G$49,MATCH(orders!$D587,products!$A$1:$A$49,0),MATCH(L$1,products!$A$1:$G$1,0))</f>
        <v>8.25</v>
      </c>
      <c r="M587" s="7">
        <f t="shared" si="27"/>
        <v>16.5</v>
      </c>
      <c r="N587" t="str">
        <f t="shared" si="28"/>
        <v>Excelsa</v>
      </c>
      <c r="O587" t="str">
        <f t="shared" si="29"/>
        <v>Medium</v>
      </c>
      <c r="P587" t="str">
        <f>_xlfn.XLOOKUP(Table1[[#This Row],[Customer ID]],customers!$A$2:$A$1001,customers!$I$2:$I$1001,,0)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INDEX(products!$A$1:$G$49,MATCH(orders!$D588,products!$A$1:$A$49,0),MATCH(I$1,products!$A$1:$G$1,0))</f>
        <v>Rob</v>
      </c>
      <c r="J588" t="str">
        <f>INDEX(products!$A$1:$G$49,MATCH(orders!$D588,products!$A$1:$A$49,0),MATCH(J$1,products!$A$1:$G$1,0))</f>
        <v>L</v>
      </c>
      <c r="K588" s="6">
        <f>INDEX(products!$A$1:$G$49,MATCH(orders!$D588,products!$A$1:$A$49,0),MATCH(K$1,products!$A$1:$G$1,0))</f>
        <v>2.5</v>
      </c>
      <c r="L588" s="7">
        <f>INDEX(products!$A$1:$G$49,MATCH(orders!$D588,products!$A$1:$A$49,0),MATCH(L$1,products!$A$1:$G$1,0))</f>
        <v>27.484999999999996</v>
      </c>
      <c r="M588" s="7">
        <f t="shared" si="27"/>
        <v>82.454999999999984</v>
      </c>
      <c r="N588" t="str">
        <f t="shared" si="28"/>
        <v>Robusta</v>
      </c>
      <c r="O588" t="str">
        <f t="shared" si="29"/>
        <v>Light</v>
      </c>
      <c r="P588" t="str">
        <f>_xlfn.XLOOKUP(Table1[[#This Row],[Customer ID]],customers!$A$2:$A$1001,customers!$I$2:$I$1001,,0)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INDEX(products!$A$1:$G$49,MATCH(orders!$D589,products!$A$1:$A$49,0),MATCH(I$1,products!$A$1:$G$1,0))</f>
        <v>Lib</v>
      </c>
      <c r="J589" t="str">
        <f>INDEX(products!$A$1:$G$49,MATCH(orders!$D589,products!$A$1:$A$49,0),MATCH(J$1,products!$A$1:$G$1,0))</f>
        <v>D</v>
      </c>
      <c r="K589" s="6">
        <f>INDEX(products!$A$1:$G$49,MATCH(orders!$D589,products!$A$1:$A$49,0),MATCH(K$1,products!$A$1:$G$1,0))</f>
        <v>0.5</v>
      </c>
      <c r="L589" s="7">
        <f>INDEX(products!$A$1:$G$49,MATCH(orders!$D589,products!$A$1:$A$49,0),MATCH(L$1,products!$A$1:$G$1,0))</f>
        <v>7.77</v>
      </c>
      <c r="M589" s="7">
        <f t="shared" si="27"/>
        <v>7.77</v>
      </c>
      <c r="N589" t="str">
        <f t="shared" si="28"/>
        <v>Liberica</v>
      </c>
      <c r="O589" t="str">
        <f t="shared" si="29"/>
        <v>Dark</v>
      </c>
      <c r="P589" t="str">
        <f>_xlfn.XLOOKUP(Table1[[#This Row],[Customer ID]],customers!$A$2:$A$1001,customers!$I$2:$I$1001,,0)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INDEX(products!$A$1:$G$49,MATCH(orders!$D590,products!$A$1:$A$49,0),MATCH(I$1,products!$A$1:$G$1,0))</f>
        <v>Rob</v>
      </c>
      <c r="J590" t="str">
        <f>INDEX(products!$A$1:$G$49,MATCH(orders!$D590,products!$A$1:$A$49,0),MATCH(J$1,products!$A$1:$G$1,0))</f>
        <v>M</v>
      </c>
      <c r="K590" s="6">
        <f>INDEX(products!$A$1:$G$49,MATCH(orders!$D590,products!$A$1:$A$49,0),MATCH(K$1,products!$A$1:$G$1,0))</f>
        <v>0.5</v>
      </c>
      <c r="L590" s="7">
        <f>INDEX(products!$A$1:$G$49,MATCH(orders!$D590,products!$A$1:$A$49,0),MATCH(L$1,products!$A$1:$G$1,0))</f>
        <v>5.97</v>
      </c>
      <c r="M590" s="7">
        <f t="shared" si="27"/>
        <v>11.94</v>
      </c>
      <c r="N590" t="str">
        <f t="shared" si="28"/>
        <v>Robusta</v>
      </c>
      <c r="O590" t="str">
        <f t="shared" si="29"/>
        <v>Medium</v>
      </c>
      <c r="P590" t="str">
        <f>_xlfn.XLOOKUP(Table1[[#This Row],[Customer ID]],customers!$A$2:$A$1001,customers!$I$2:$I$1001,,0)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INDEX(products!$A$1:$G$49,MATCH(orders!$D591,products!$A$1:$A$49,0),MATCH(I$1,products!$A$1:$G$1,0))</f>
        <v>Exc</v>
      </c>
      <c r="J591" t="str">
        <f>INDEX(products!$A$1:$G$49,MATCH(orders!$D591,products!$A$1:$A$49,0),MATCH(J$1,products!$A$1:$G$1,0))</f>
        <v>L</v>
      </c>
      <c r="K591" s="6">
        <f>INDEX(products!$A$1:$G$49,MATCH(orders!$D591,products!$A$1:$A$49,0),MATCH(K$1,products!$A$1:$G$1,0))</f>
        <v>2.5</v>
      </c>
      <c r="L591" s="7">
        <f>INDEX(products!$A$1:$G$49,MATCH(orders!$D591,products!$A$1:$A$49,0),MATCH(L$1,products!$A$1:$G$1,0))</f>
        <v>34.154999999999994</v>
      </c>
      <c r="M591" s="7">
        <f t="shared" si="27"/>
        <v>204.92999999999995</v>
      </c>
      <c r="N591" t="str">
        <f t="shared" si="28"/>
        <v>Excelsa</v>
      </c>
      <c r="O591" t="str">
        <f t="shared" si="29"/>
        <v>Light</v>
      </c>
      <c r="P591" t="str">
        <f>_xlfn.XLOOKUP(Table1[[#This Row],[Customer ID]],customers!$A$2:$A$1001,customers!$I$2:$I$1001,,0)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INDEX(products!$A$1:$G$49,MATCH(orders!$D592,products!$A$1:$A$49,0),MATCH(I$1,products!$A$1:$G$1,0))</f>
        <v>Exc</v>
      </c>
      <c r="J592" t="str">
        <f>INDEX(products!$A$1:$G$49,MATCH(orders!$D592,products!$A$1:$A$49,0),MATCH(J$1,products!$A$1:$G$1,0))</f>
        <v>M</v>
      </c>
      <c r="K592" s="6">
        <f>INDEX(products!$A$1:$G$49,MATCH(orders!$D592,products!$A$1:$A$49,0),MATCH(K$1,products!$A$1:$G$1,0))</f>
        <v>2.5</v>
      </c>
      <c r="L592" s="7">
        <f>INDEX(products!$A$1:$G$49,MATCH(orders!$D592,products!$A$1:$A$49,0),MATCH(L$1,products!$A$1:$G$1,0))</f>
        <v>31.624999999999996</v>
      </c>
      <c r="M592" s="7">
        <f t="shared" si="27"/>
        <v>63.249999999999993</v>
      </c>
      <c r="N592" t="str">
        <f t="shared" si="28"/>
        <v>Excelsa</v>
      </c>
      <c r="O592" t="str">
        <f t="shared" si="29"/>
        <v>Medium</v>
      </c>
      <c r="P592" t="str">
        <f>_xlfn.XLOOKUP(Table1[[#This Row],[Customer ID]],customers!$A$2:$A$1001,customers!$I$2:$I$1001,,0)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INDEX(products!$A$1:$G$49,MATCH(orders!$D593,products!$A$1:$A$49,0),MATCH(I$1,products!$A$1:$G$1,0))</f>
        <v>Rob</v>
      </c>
      <c r="J593" t="str">
        <f>INDEX(products!$A$1:$G$49,MATCH(orders!$D593,products!$A$1:$A$49,0),MATCH(J$1,products!$A$1:$G$1,0))</f>
        <v>D</v>
      </c>
      <c r="K593" s="6">
        <f>INDEX(products!$A$1:$G$49,MATCH(orders!$D593,products!$A$1:$A$49,0),MATCH(K$1,products!$A$1:$G$1,0))</f>
        <v>0.2</v>
      </c>
      <c r="L593" s="7">
        <f>INDEX(products!$A$1:$G$49,MATCH(orders!$D593,products!$A$1:$A$49,0),MATCH(L$1,products!$A$1:$G$1,0))</f>
        <v>2.6849999999999996</v>
      </c>
      <c r="M593" s="7">
        <f t="shared" si="27"/>
        <v>8.0549999999999997</v>
      </c>
      <c r="N593" t="str">
        <f t="shared" si="28"/>
        <v>Robusta</v>
      </c>
      <c r="O593" t="str">
        <f t="shared" si="29"/>
        <v>Dark</v>
      </c>
      <c r="P593" t="str">
        <f>_xlfn.XLOOKUP(Table1[[#This Row],[Customer ID]],customers!$A$2:$A$1001,customers!$I$2:$I$1001,,0)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INDEX(products!$A$1:$G$49,MATCH(orders!$D594,products!$A$1:$A$49,0),MATCH(I$1,products!$A$1:$G$1,0))</f>
        <v>Ara</v>
      </c>
      <c r="J594" t="str">
        <f>INDEX(products!$A$1:$G$49,MATCH(orders!$D594,products!$A$1:$A$49,0),MATCH(J$1,products!$A$1:$G$1,0))</f>
        <v>M</v>
      </c>
      <c r="K594" s="6">
        <f>INDEX(products!$A$1:$G$49,MATCH(orders!$D594,products!$A$1:$A$49,0),MATCH(K$1,products!$A$1:$G$1,0))</f>
        <v>2.5</v>
      </c>
      <c r="L594" s="7">
        <f>INDEX(products!$A$1:$G$49,MATCH(orders!$D594,products!$A$1:$A$49,0),MATCH(L$1,products!$A$1:$G$1,0))</f>
        <v>25.874999999999996</v>
      </c>
      <c r="M594" s="7">
        <f t="shared" si="27"/>
        <v>51.749999999999993</v>
      </c>
      <c r="N594" t="str">
        <f t="shared" si="28"/>
        <v>Arabica</v>
      </c>
      <c r="O594" t="str">
        <f t="shared" si="29"/>
        <v>Medium</v>
      </c>
      <c r="P594" t="str">
        <f>_xlfn.XLOOKUP(Table1[[#This Row],[Customer ID]],customers!$A$2:$A$1001,customers!$I$2:$I$1001,,0)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INDEX(products!$A$1:$G$49,MATCH(orders!$D595,products!$A$1:$A$49,0),MATCH(I$1,products!$A$1:$G$1,0))</f>
        <v>Exc</v>
      </c>
      <c r="J595" t="str">
        <f>INDEX(products!$A$1:$G$49,MATCH(orders!$D595,products!$A$1:$A$49,0),MATCH(J$1,products!$A$1:$G$1,0))</f>
        <v>D</v>
      </c>
      <c r="K595" s="6">
        <f>INDEX(products!$A$1:$G$49,MATCH(orders!$D595,products!$A$1:$A$49,0),MATCH(K$1,products!$A$1:$G$1,0))</f>
        <v>2.5</v>
      </c>
      <c r="L595" s="7">
        <f>INDEX(products!$A$1:$G$49,MATCH(orders!$D595,products!$A$1:$A$49,0),MATCH(L$1,products!$A$1:$G$1,0))</f>
        <v>27.945</v>
      </c>
      <c r="M595" s="7">
        <f t="shared" si="27"/>
        <v>27.945</v>
      </c>
      <c r="N595" t="str">
        <f t="shared" si="28"/>
        <v>Excelsa</v>
      </c>
      <c r="O595" t="str">
        <f t="shared" si="29"/>
        <v>Dark</v>
      </c>
      <c r="P595" t="str">
        <f>_xlfn.XLOOKUP(Table1[[#This Row],[Customer ID]],customers!$A$2:$A$1001,customers!$I$2:$I$1001,,0)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INDEX(products!$A$1:$G$49,MATCH(orders!$D596,products!$A$1:$A$49,0),MATCH(I$1,products!$A$1:$G$1,0))</f>
        <v>Ara</v>
      </c>
      <c r="J596" t="str">
        <f>INDEX(products!$A$1:$G$49,MATCH(orders!$D596,products!$A$1:$A$49,0),MATCH(J$1,products!$A$1:$G$1,0))</f>
        <v>L</v>
      </c>
      <c r="K596" s="6">
        <f>INDEX(products!$A$1:$G$49,MATCH(orders!$D596,products!$A$1:$A$49,0),MATCH(K$1,products!$A$1:$G$1,0))</f>
        <v>2.5</v>
      </c>
      <c r="L596" s="7">
        <f>INDEX(products!$A$1:$G$49,MATCH(orders!$D596,products!$A$1:$A$49,0),MATCH(L$1,products!$A$1:$G$1,0))</f>
        <v>29.784999999999997</v>
      </c>
      <c r="M596" s="7">
        <f t="shared" si="27"/>
        <v>59.569999999999993</v>
      </c>
      <c r="N596" t="str">
        <f t="shared" si="28"/>
        <v>Arabica</v>
      </c>
      <c r="O596" t="str">
        <f t="shared" si="29"/>
        <v>Light</v>
      </c>
      <c r="P596" t="str">
        <f>_xlfn.XLOOKUP(Table1[[#This Row],[Customer ID]],customers!$A$2:$A$1001,customers!$I$2:$I$1001,,0)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INDEX(products!$A$1:$G$49,MATCH(orders!$D597,products!$A$1:$A$49,0),MATCH(I$1,products!$A$1:$G$1,0))</f>
        <v>Exc</v>
      </c>
      <c r="J597" t="str">
        <f>INDEX(products!$A$1:$G$49,MATCH(orders!$D597,products!$A$1:$A$49,0),MATCH(J$1,products!$A$1:$G$1,0))</f>
        <v>L</v>
      </c>
      <c r="K597" s="6">
        <f>INDEX(products!$A$1:$G$49,MATCH(orders!$D597,products!$A$1:$A$49,0),MATCH(K$1,products!$A$1:$G$1,0))</f>
        <v>1</v>
      </c>
      <c r="L597" s="7">
        <f>INDEX(products!$A$1:$G$49,MATCH(orders!$D597,products!$A$1:$A$49,0),MATCH(L$1,products!$A$1:$G$1,0))</f>
        <v>14.85</v>
      </c>
      <c r="M597" s="7">
        <f t="shared" si="27"/>
        <v>14.85</v>
      </c>
      <c r="N597" t="str">
        <f t="shared" si="28"/>
        <v>Excelsa</v>
      </c>
      <c r="O597" t="str">
        <f t="shared" si="29"/>
        <v>Light</v>
      </c>
      <c r="P597" t="str">
        <f>_xlfn.XLOOKUP(Table1[[#This Row],[Customer ID]],customers!$A$2:$A$1001,customers!$I$2:$I$1001,,0)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INDEX(products!$A$1:$G$49,MATCH(orders!$D598,products!$A$1:$A$49,0),MATCH(I$1,products!$A$1:$G$1,0))</f>
        <v>Ara</v>
      </c>
      <c r="J598" t="str">
        <f>INDEX(products!$A$1:$G$49,MATCH(orders!$D598,products!$A$1:$A$49,0),MATCH(J$1,products!$A$1:$G$1,0))</f>
        <v>M</v>
      </c>
      <c r="K598" s="6">
        <f>INDEX(products!$A$1:$G$49,MATCH(orders!$D598,products!$A$1:$A$49,0),MATCH(K$1,products!$A$1:$G$1,0))</f>
        <v>0.5</v>
      </c>
      <c r="L598" s="7">
        <f>INDEX(products!$A$1:$G$49,MATCH(orders!$D598,products!$A$1:$A$49,0),MATCH(L$1,products!$A$1:$G$1,0))</f>
        <v>6.75</v>
      </c>
      <c r="M598" s="7">
        <f t="shared" si="27"/>
        <v>33.75</v>
      </c>
      <c r="N598" t="str">
        <f t="shared" si="28"/>
        <v>Arabica</v>
      </c>
      <c r="O598" t="str">
        <f t="shared" si="29"/>
        <v>Medium</v>
      </c>
      <c r="P598" t="str">
        <f>_xlfn.XLOOKUP(Table1[[#This Row],[Customer ID]],customers!$A$2:$A$1001,customers!$I$2:$I$1001,,0)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INDEX(products!$A$1:$G$49,MATCH(orders!$D599,products!$A$1:$A$49,0),MATCH(I$1,products!$A$1:$G$1,0))</f>
        <v>Lib</v>
      </c>
      <c r="J599" t="str">
        <f>INDEX(products!$A$1:$G$49,MATCH(orders!$D599,products!$A$1:$A$49,0),MATCH(J$1,products!$A$1:$G$1,0))</f>
        <v>L</v>
      </c>
      <c r="K599" s="6">
        <f>INDEX(products!$A$1:$G$49,MATCH(orders!$D599,products!$A$1:$A$49,0),MATCH(K$1,products!$A$1:$G$1,0))</f>
        <v>2.5</v>
      </c>
      <c r="L599" s="7">
        <f>INDEX(products!$A$1:$G$49,MATCH(orders!$D599,products!$A$1:$A$49,0),MATCH(L$1,products!$A$1:$G$1,0))</f>
        <v>36.454999999999998</v>
      </c>
      <c r="M599" s="7">
        <f t="shared" si="27"/>
        <v>145.82</v>
      </c>
      <c r="N599" t="str">
        <f t="shared" si="28"/>
        <v>Liberica</v>
      </c>
      <c r="O599" t="str">
        <f t="shared" si="29"/>
        <v>Light</v>
      </c>
      <c r="P599" t="str">
        <f>_xlfn.XLOOKUP(Table1[[#This Row],[Customer ID]],customers!$A$2:$A$1001,customers!$I$2:$I$1001,,0)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INDEX(products!$A$1:$G$49,MATCH(orders!$D600,products!$A$1:$A$49,0),MATCH(I$1,products!$A$1:$G$1,0))</f>
        <v>Rob</v>
      </c>
      <c r="J600" t="str">
        <f>INDEX(products!$A$1:$G$49,MATCH(orders!$D600,products!$A$1:$A$49,0),MATCH(J$1,products!$A$1:$G$1,0))</f>
        <v>M</v>
      </c>
      <c r="K600" s="6">
        <f>INDEX(products!$A$1:$G$49,MATCH(orders!$D600,products!$A$1:$A$49,0),MATCH(K$1,products!$A$1:$G$1,0))</f>
        <v>0.2</v>
      </c>
      <c r="L600" s="7">
        <f>INDEX(products!$A$1:$G$49,MATCH(orders!$D600,products!$A$1:$A$49,0),MATCH(L$1,products!$A$1:$G$1,0))</f>
        <v>2.9849999999999999</v>
      </c>
      <c r="M600" s="7">
        <f t="shared" si="27"/>
        <v>11.94</v>
      </c>
      <c r="N600" t="str">
        <f t="shared" si="28"/>
        <v>Robusta</v>
      </c>
      <c r="O600" t="str">
        <f t="shared" si="29"/>
        <v>Medium</v>
      </c>
      <c r="P600" t="str">
        <f>_xlfn.XLOOKUP(Table1[[#This Row],[Customer ID]],customers!$A$2:$A$1001,customers!$I$2:$I$1001,,0)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INDEX(products!$A$1:$G$49,MATCH(orders!$D601,products!$A$1:$A$49,0),MATCH(I$1,products!$A$1:$G$1,0))</f>
        <v>Ara</v>
      </c>
      <c r="J601" t="str">
        <f>INDEX(products!$A$1:$G$49,MATCH(orders!$D601,products!$A$1:$A$49,0),MATCH(J$1,products!$A$1:$G$1,0))</f>
        <v>D</v>
      </c>
      <c r="K601" s="6">
        <f>INDEX(products!$A$1:$G$49,MATCH(orders!$D601,products!$A$1:$A$49,0),MATCH(K$1,products!$A$1:$G$1,0))</f>
        <v>0.2</v>
      </c>
      <c r="L601" s="7">
        <f>INDEX(products!$A$1:$G$49,MATCH(orders!$D601,products!$A$1:$A$49,0),MATCH(L$1,products!$A$1:$G$1,0))</f>
        <v>2.9849999999999999</v>
      </c>
      <c r="M601" s="7">
        <f t="shared" si="27"/>
        <v>11.94</v>
      </c>
      <c r="N601" t="str">
        <f t="shared" si="28"/>
        <v>Arabica</v>
      </c>
      <c r="O601" t="str">
        <f t="shared" si="29"/>
        <v>Dark</v>
      </c>
      <c r="P601" t="str">
        <f>_xlfn.XLOOKUP(Table1[[#This Row],[Customer ID]],customers!$A$2:$A$1001,customers!$I$2:$I$1001,,0)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INDEX(products!$A$1:$G$49,MATCH(orders!$D602,products!$A$1:$A$49,0),MATCH(I$1,products!$A$1:$G$1,0))</f>
        <v>Lib</v>
      </c>
      <c r="J602" t="str">
        <f>INDEX(products!$A$1:$G$49,MATCH(orders!$D602,products!$A$1:$A$49,0),MATCH(J$1,products!$A$1:$G$1,0))</f>
        <v>D</v>
      </c>
      <c r="K602" s="6">
        <f>INDEX(products!$A$1:$G$49,MATCH(orders!$D602,products!$A$1:$A$49,0),MATCH(K$1,products!$A$1:$G$1,0))</f>
        <v>0.5</v>
      </c>
      <c r="L602" s="7">
        <f>INDEX(products!$A$1:$G$49,MATCH(orders!$D602,products!$A$1:$A$49,0),MATCH(L$1,products!$A$1:$G$1,0))</f>
        <v>7.77</v>
      </c>
      <c r="M602" s="7">
        <f t="shared" si="27"/>
        <v>7.77</v>
      </c>
      <c r="N602" t="str">
        <f t="shared" si="28"/>
        <v>Liberica</v>
      </c>
      <c r="O602" t="str">
        <f t="shared" si="29"/>
        <v>Dark</v>
      </c>
      <c r="P602" t="str">
        <f>_xlfn.XLOOKUP(Table1[[#This Row],[Customer ID]],customers!$A$2:$A$1001,customers!$I$2:$I$1001,,0)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INDEX(products!$A$1:$G$49,MATCH(orders!$D603,products!$A$1:$A$49,0),MATCH(I$1,products!$A$1:$G$1,0))</f>
        <v>Rob</v>
      </c>
      <c r="J603" t="str">
        <f>INDEX(products!$A$1:$G$49,MATCH(orders!$D603,products!$A$1:$A$49,0),MATCH(J$1,products!$A$1:$G$1,0))</f>
        <v>L</v>
      </c>
      <c r="K603" s="6">
        <f>INDEX(products!$A$1:$G$49,MATCH(orders!$D603,products!$A$1:$A$49,0),MATCH(K$1,products!$A$1:$G$1,0))</f>
        <v>2.5</v>
      </c>
      <c r="L603" s="7">
        <f>INDEX(products!$A$1:$G$49,MATCH(orders!$D603,products!$A$1:$A$49,0),MATCH(L$1,products!$A$1:$G$1,0))</f>
        <v>27.484999999999996</v>
      </c>
      <c r="M603" s="7">
        <f t="shared" si="27"/>
        <v>109.93999999999998</v>
      </c>
      <c r="N603" t="str">
        <f t="shared" si="28"/>
        <v>Robusta</v>
      </c>
      <c r="O603" t="str">
        <f t="shared" si="29"/>
        <v>Light</v>
      </c>
      <c r="P603" t="str">
        <f>_xlfn.XLOOKUP(Table1[[#This Row],[Customer ID]],customers!$A$2:$A$1001,customers!$I$2:$I$1001,,0)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INDEX(products!$A$1:$G$49,MATCH(orders!$D604,products!$A$1:$A$49,0),MATCH(I$1,products!$A$1:$G$1,0))</f>
        <v>Exc</v>
      </c>
      <c r="J604" t="str">
        <f>INDEX(products!$A$1:$G$49,MATCH(orders!$D604,products!$A$1:$A$49,0),MATCH(J$1,products!$A$1:$G$1,0))</f>
        <v>L</v>
      </c>
      <c r="K604" s="6">
        <f>INDEX(products!$A$1:$G$49,MATCH(orders!$D604,products!$A$1:$A$49,0),MATCH(K$1,products!$A$1:$G$1,0))</f>
        <v>0.2</v>
      </c>
      <c r="L604" s="7">
        <f>INDEX(products!$A$1:$G$49,MATCH(orders!$D604,products!$A$1:$A$49,0),MATCH(L$1,products!$A$1:$G$1,0))</f>
        <v>4.4550000000000001</v>
      </c>
      <c r="M604" s="7">
        <f t="shared" si="27"/>
        <v>22.274999999999999</v>
      </c>
      <c r="N604" t="str">
        <f t="shared" si="28"/>
        <v>Excelsa</v>
      </c>
      <c r="O604" t="str">
        <f t="shared" si="29"/>
        <v>Light</v>
      </c>
      <c r="P604" t="str">
        <f>_xlfn.XLOOKUP(Table1[[#This Row],[Customer ID]],customers!$A$2:$A$1001,customers!$I$2:$I$1001,,0)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INDEX(products!$A$1:$G$49,MATCH(orders!$D605,products!$A$1:$A$49,0),MATCH(I$1,products!$A$1:$G$1,0))</f>
        <v>Rob</v>
      </c>
      <c r="J605" t="str">
        <f>INDEX(products!$A$1:$G$49,MATCH(orders!$D605,products!$A$1:$A$49,0),MATCH(J$1,products!$A$1:$G$1,0))</f>
        <v>M</v>
      </c>
      <c r="K605" s="6">
        <f>INDEX(products!$A$1:$G$49,MATCH(orders!$D605,products!$A$1:$A$49,0),MATCH(K$1,products!$A$1:$G$1,0))</f>
        <v>0.2</v>
      </c>
      <c r="L605" s="7">
        <f>INDEX(products!$A$1:$G$49,MATCH(orders!$D605,products!$A$1:$A$49,0),MATCH(L$1,products!$A$1:$G$1,0))</f>
        <v>2.9849999999999999</v>
      </c>
      <c r="M605" s="7">
        <f t="shared" si="27"/>
        <v>8.9550000000000001</v>
      </c>
      <c r="N605" t="str">
        <f t="shared" si="28"/>
        <v>Robusta</v>
      </c>
      <c r="O605" t="str">
        <f t="shared" si="29"/>
        <v>Medium</v>
      </c>
      <c r="P605" t="str">
        <f>_xlfn.XLOOKUP(Table1[[#This Row],[Customer ID]],customers!$A$2:$A$1001,customers!$I$2:$I$1001,,0)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INDEX(products!$A$1:$G$49,MATCH(orders!$D606,products!$A$1:$A$49,0),MATCH(I$1,products!$A$1:$G$1,0))</f>
        <v>Lib</v>
      </c>
      <c r="J606" t="str">
        <f>INDEX(products!$A$1:$G$49,MATCH(orders!$D606,products!$A$1:$A$49,0),MATCH(J$1,products!$A$1:$G$1,0))</f>
        <v>D</v>
      </c>
      <c r="K606" s="6">
        <f>INDEX(products!$A$1:$G$49,MATCH(orders!$D606,products!$A$1:$A$49,0),MATCH(K$1,products!$A$1:$G$1,0))</f>
        <v>2.5</v>
      </c>
      <c r="L606" s="7">
        <f>INDEX(products!$A$1:$G$49,MATCH(orders!$D606,products!$A$1:$A$49,0),MATCH(L$1,products!$A$1:$G$1,0))</f>
        <v>29.784999999999997</v>
      </c>
      <c r="M606" s="7">
        <f t="shared" si="27"/>
        <v>119.13999999999999</v>
      </c>
      <c r="N606" t="str">
        <f t="shared" si="28"/>
        <v>Liberica</v>
      </c>
      <c r="O606" t="str">
        <f t="shared" si="29"/>
        <v>Dark</v>
      </c>
      <c r="P606" t="str">
        <f>_xlfn.XLOOKUP(Table1[[#This Row],[Customer ID]],customers!$A$2:$A$1001,customers!$I$2:$I$1001,,0)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INDEX(products!$A$1:$G$49,MATCH(orders!$D607,products!$A$1:$A$49,0),MATCH(I$1,products!$A$1:$G$1,0))</f>
        <v>Ara</v>
      </c>
      <c r="J607" t="str">
        <f>INDEX(products!$A$1:$G$49,MATCH(orders!$D607,products!$A$1:$A$49,0),MATCH(J$1,products!$A$1:$G$1,0))</f>
        <v>L</v>
      </c>
      <c r="K607" s="6">
        <f>INDEX(products!$A$1:$G$49,MATCH(orders!$D607,products!$A$1:$A$49,0),MATCH(K$1,products!$A$1:$G$1,0))</f>
        <v>2.5</v>
      </c>
      <c r="L607" s="7">
        <f>INDEX(products!$A$1:$G$49,MATCH(orders!$D607,products!$A$1:$A$49,0),MATCH(L$1,products!$A$1:$G$1,0))</f>
        <v>29.784999999999997</v>
      </c>
      <c r="M607" s="7">
        <f t="shared" si="27"/>
        <v>148.92499999999998</v>
      </c>
      <c r="N607" t="str">
        <f t="shared" si="28"/>
        <v>Arabica</v>
      </c>
      <c r="O607" t="str">
        <f t="shared" si="29"/>
        <v>Light</v>
      </c>
      <c r="P607" t="str">
        <f>_xlfn.XLOOKUP(Table1[[#This Row],[Customer ID]],customers!$A$2:$A$1001,customers!$I$2:$I$1001,,0)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INDEX(products!$A$1:$G$49,MATCH(orders!$D608,products!$A$1:$A$49,0),MATCH(I$1,products!$A$1:$G$1,0))</f>
        <v>Lib</v>
      </c>
      <c r="J608" t="str">
        <f>INDEX(products!$A$1:$G$49,MATCH(orders!$D608,products!$A$1:$A$49,0),MATCH(J$1,products!$A$1:$G$1,0))</f>
        <v>L</v>
      </c>
      <c r="K608" s="6">
        <f>INDEX(products!$A$1:$G$49,MATCH(orders!$D608,products!$A$1:$A$49,0),MATCH(K$1,products!$A$1:$G$1,0))</f>
        <v>2.5</v>
      </c>
      <c r="L608" s="7">
        <f>INDEX(products!$A$1:$G$49,MATCH(orders!$D608,products!$A$1:$A$49,0),MATCH(L$1,products!$A$1:$G$1,0))</f>
        <v>36.454999999999998</v>
      </c>
      <c r="M608" s="7">
        <f t="shared" si="27"/>
        <v>109.36499999999999</v>
      </c>
      <c r="N608" t="str">
        <f t="shared" si="28"/>
        <v>Liberica</v>
      </c>
      <c r="O608" t="str">
        <f t="shared" si="29"/>
        <v>Light</v>
      </c>
      <c r="P608" t="str">
        <f>_xlfn.XLOOKUP(Table1[[#This Row],[Customer ID]],customers!$A$2:$A$1001,customers!$I$2:$I$1001,,0)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INDEX(products!$A$1:$G$49,MATCH(orders!$D609,products!$A$1:$A$49,0),MATCH(I$1,products!$A$1:$G$1,0))</f>
        <v>Exc</v>
      </c>
      <c r="J609" t="str">
        <f>INDEX(products!$A$1:$G$49,MATCH(orders!$D609,products!$A$1:$A$49,0),MATCH(J$1,products!$A$1:$G$1,0))</f>
        <v>D</v>
      </c>
      <c r="K609" s="6">
        <f>INDEX(products!$A$1:$G$49,MATCH(orders!$D609,products!$A$1:$A$49,0),MATCH(K$1,products!$A$1:$G$1,0))</f>
        <v>0.2</v>
      </c>
      <c r="L609" s="7">
        <f>INDEX(products!$A$1:$G$49,MATCH(orders!$D609,products!$A$1:$A$49,0),MATCH(L$1,products!$A$1:$G$1,0))</f>
        <v>3.645</v>
      </c>
      <c r="M609" s="7">
        <f t="shared" si="27"/>
        <v>3.645</v>
      </c>
      <c r="N609" t="str">
        <f t="shared" si="28"/>
        <v>Excelsa</v>
      </c>
      <c r="O609" t="str">
        <f t="shared" si="29"/>
        <v>Dark</v>
      </c>
      <c r="P609" t="str">
        <f>_xlfn.XLOOKUP(Table1[[#This Row],[Customer ID]],customers!$A$2:$A$1001,customers!$I$2:$I$1001,,0)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INDEX(products!$A$1:$G$49,MATCH(orders!$D610,products!$A$1:$A$49,0),MATCH(I$1,products!$A$1:$G$1,0))</f>
        <v>Exc</v>
      </c>
      <c r="J610" t="str">
        <f>INDEX(products!$A$1:$G$49,MATCH(orders!$D610,products!$A$1:$A$49,0),MATCH(J$1,products!$A$1:$G$1,0))</f>
        <v>D</v>
      </c>
      <c r="K610" s="6">
        <f>INDEX(products!$A$1:$G$49,MATCH(orders!$D610,products!$A$1:$A$49,0),MATCH(K$1,products!$A$1:$G$1,0))</f>
        <v>2.5</v>
      </c>
      <c r="L610" s="7">
        <f>INDEX(products!$A$1:$G$49,MATCH(orders!$D610,products!$A$1:$A$49,0),MATCH(L$1,products!$A$1:$G$1,0))</f>
        <v>27.945</v>
      </c>
      <c r="M610" s="7">
        <f t="shared" si="27"/>
        <v>55.89</v>
      </c>
      <c r="N610" t="str">
        <f t="shared" si="28"/>
        <v>Excelsa</v>
      </c>
      <c r="O610" t="str">
        <f t="shared" si="29"/>
        <v>Dark</v>
      </c>
      <c r="P610" t="str">
        <f>_xlfn.XLOOKUP(Table1[[#This Row],[Customer ID]],customers!$A$2:$A$1001,customers!$I$2:$I$1001,,0)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INDEX(products!$A$1:$G$49,MATCH(orders!$D611,products!$A$1:$A$49,0),MATCH(I$1,products!$A$1:$G$1,0))</f>
        <v>Lib</v>
      </c>
      <c r="J611" t="str">
        <f>INDEX(products!$A$1:$G$49,MATCH(orders!$D611,products!$A$1:$A$49,0),MATCH(J$1,products!$A$1:$G$1,0))</f>
        <v>M</v>
      </c>
      <c r="K611" s="6">
        <f>INDEX(products!$A$1:$G$49,MATCH(orders!$D611,products!$A$1:$A$49,0),MATCH(K$1,products!$A$1:$G$1,0))</f>
        <v>0.2</v>
      </c>
      <c r="L611" s="7">
        <f>INDEX(products!$A$1:$G$49,MATCH(orders!$D611,products!$A$1:$A$49,0),MATCH(L$1,products!$A$1:$G$1,0))</f>
        <v>4.3650000000000002</v>
      </c>
      <c r="M611" s="7">
        <f t="shared" si="27"/>
        <v>26.19</v>
      </c>
      <c r="N611" t="str">
        <f t="shared" si="28"/>
        <v>Liberica</v>
      </c>
      <c r="O611" t="str">
        <f t="shared" si="29"/>
        <v>Medium</v>
      </c>
      <c r="P611" t="str">
        <f>_xlfn.XLOOKUP(Table1[[#This Row],[Customer ID]],customers!$A$2:$A$1001,customers!$I$2:$I$1001,,0)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INDEX(products!$A$1:$G$49,MATCH(orders!$D612,products!$A$1:$A$49,0),MATCH(I$1,products!$A$1:$G$1,0))</f>
        <v>Rob</v>
      </c>
      <c r="J612" t="str">
        <f>INDEX(products!$A$1:$G$49,MATCH(orders!$D612,products!$A$1:$A$49,0),MATCH(J$1,products!$A$1:$G$1,0))</f>
        <v>M</v>
      </c>
      <c r="K612" s="6">
        <f>INDEX(products!$A$1:$G$49,MATCH(orders!$D612,products!$A$1:$A$49,0),MATCH(K$1,products!$A$1:$G$1,0))</f>
        <v>1</v>
      </c>
      <c r="L612" s="7">
        <f>INDEX(products!$A$1:$G$49,MATCH(orders!$D612,products!$A$1:$A$49,0),MATCH(L$1,products!$A$1:$G$1,0))</f>
        <v>9.9499999999999993</v>
      </c>
      <c r="M612" s="7">
        <f t="shared" si="27"/>
        <v>39.799999999999997</v>
      </c>
      <c r="N612" t="str">
        <f t="shared" si="28"/>
        <v>Robusta</v>
      </c>
      <c r="O612" t="str">
        <f t="shared" si="29"/>
        <v>Medium</v>
      </c>
      <c r="P612" t="str">
        <f>_xlfn.XLOOKUP(Table1[[#This Row],[Customer ID]],customers!$A$2:$A$1001,customers!$I$2:$I$1001,,0)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INDEX(products!$A$1:$G$49,MATCH(orders!$D613,products!$A$1:$A$49,0),MATCH(I$1,products!$A$1:$G$1,0))</f>
        <v>Exc</v>
      </c>
      <c r="J613" t="str">
        <f>INDEX(products!$A$1:$G$49,MATCH(orders!$D613,products!$A$1:$A$49,0),MATCH(J$1,products!$A$1:$G$1,0))</f>
        <v>L</v>
      </c>
      <c r="K613" s="6">
        <f>INDEX(products!$A$1:$G$49,MATCH(orders!$D613,products!$A$1:$A$49,0),MATCH(K$1,products!$A$1:$G$1,0))</f>
        <v>2.5</v>
      </c>
      <c r="L613" s="7">
        <f>INDEX(products!$A$1:$G$49,MATCH(orders!$D613,products!$A$1:$A$49,0),MATCH(L$1,products!$A$1:$G$1,0))</f>
        <v>34.154999999999994</v>
      </c>
      <c r="M613" s="7">
        <f t="shared" si="27"/>
        <v>68.309999999999988</v>
      </c>
      <c r="N613" t="str">
        <f t="shared" si="28"/>
        <v>Excelsa</v>
      </c>
      <c r="O613" t="str">
        <f t="shared" si="29"/>
        <v>Light</v>
      </c>
      <c r="P613" t="str">
        <f>_xlfn.XLOOKUP(Table1[[#This Row],[Customer ID]],customers!$A$2:$A$1001,customers!$I$2:$I$1001,,0)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INDEX(products!$A$1:$G$49,MATCH(orders!$D614,products!$A$1:$A$49,0),MATCH(I$1,products!$A$1:$G$1,0))</f>
        <v>Ara</v>
      </c>
      <c r="J614" t="str">
        <f>INDEX(products!$A$1:$G$49,MATCH(orders!$D614,products!$A$1:$A$49,0),MATCH(J$1,products!$A$1:$G$1,0))</f>
        <v>M</v>
      </c>
      <c r="K614" s="6">
        <f>INDEX(products!$A$1:$G$49,MATCH(orders!$D614,products!$A$1:$A$49,0),MATCH(K$1,products!$A$1:$G$1,0))</f>
        <v>0.2</v>
      </c>
      <c r="L614" s="7">
        <f>INDEX(products!$A$1:$G$49,MATCH(orders!$D614,products!$A$1:$A$49,0),MATCH(L$1,products!$A$1:$G$1,0))</f>
        <v>3.375</v>
      </c>
      <c r="M614" s="7">
        <f t="shared" si="27"/>
        <v>13.5</v>
      </c>
      <c r="N614" t="str">
        <f t="shared" si="28"/>
        <v>Arabica</v>
      </c>
      <c r="O614" t="str">
        <f t="shared" si="29"/>
        <v>Medium</v>
      </c>
      <c r="P614" t="str">
        <f>_xlfn.XLOOKUP(Table1[[#This Row],[Customer ID]],customers!$A$2:$A$1001,customers!$I$2:$I$1001,,0)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INDEX(products!$A$1:$G$49,MATCH(orders!$D615,products!$A$1:$A$49,0),MATCH(I$1,products!$A$1:$G$1,0))</f>
        <v>Rob</v>
      </c>
      <c r="J615" t="str">
        <f>INDEX(products!$A$1:$G$49,MATCH(orders!$D615,products!$A$1:$A$49,0),MATCH(J$1,products!$A$1:$G$1,0))</f>
        <v>M</v>
      </c>
      <c r="K615" s="6">
        <f>INDEX(products!$A$1:$G$49,MATCH(orders!$D615,products!$A$1:$A$49,0),MATCH(K$1,products!$A$1:$G$1,0))</f>
        <v>0.5</v>
      </c>
      <c r="L615" s="7">
        <f>INDEX(products!$A$1:$G$49,MATCH(orders!$D615,products!$A$1:$A$49,0),MATCH(L$1,products!$A$1:$G$1,0))</f>
        <v>5.97</v>
      </c>
      <c r="M615" s="7">
        <f t="shared" si="27"/>
        <v>5.97</v>
      </c>
      <c r="N615" t="str">
        <f t="shared" si="28"/>
        <v>Robusta</v>
      </c>
      <c r="O615" t="str">
        <f t="shared" si="29"/>
        <v>Medium</v>
      </c>
      <c r="P615" t="str">
        <f>_xlfn.XLOOKUP(Table1[[#This Row],[Customer ID]],customers!$A$2:$A$1001,customers!$I$2:$I$1001,,0)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INDEX(products!$A$1:$G$49,MATCH(orders!$D616,products!$A$1:$A$49,0),MATCH(I$1,products!$A$1:$G$1,0))</f>
        <v>Rob</v>
      </c>
      <c r="J616" t="str">
        <f>INDEX(products!$A$1:$G$49,MATCH(orders!$D616,products!$A$1:$A$49,0),MATCH(J$1,products!$A$1:$G$1,0))</f>
        <v>M</v>
      </c>
      <c r="K616" s="6">
        <f>INDEX(products!$A$1:$G$49,MATCH(orders!$D616,products!$A$1:$A$49,0),MATCH(K$1,products!$A$1:$G$1,0))</f>
        <v>0.5</v>
      </c>
      <c r="L616" s="7">
        <f>INDEX(products!$A$1:$G$49,MATCH(orders!$D616,products!$A$1:$A$49,0),MATCH(L$1,products!$A$1:$G$1,0))</f>
        <v>5.97</v>
      </c>
      <c r="M616" s="7">
        <f t="shared" si="27"/>
        <v>29.849999999999998</v>
      </c>
      <c r="N616" t="str">
        <f t="shared" si="28"/>
        <v>Robusta</v>
      </c>
      <c r="O616" t="str">
        <f t="shared" si="29"/>
        <v>Medium</v>
      </c>
      <c r="P616" t="str">
        <f>_xlfn.XLOOKUP(Table1[[#This Row],[Customer ID]],customers!$A$2:$A$1001,customers!$I$2:$I$1001,,0)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INDEX(products!$A$1:$G$49,MATCH(orders!$D617,products!$A$1:$A$49,0),MATCH(I$1,products!$A$1:$G$1,0))</f>
        <v>Lib</v>
      </c>
      <c r="J617" t="str">
        <f>INDEX(products!$A$1:$G$49,MATCH(orders!$D617,products!$A$1:$A$49,0),MATCH(J$1,products!$A$1:$G$1,0))</f>
        <v>L</v>
      </c>
      <c r="K617" s="6">
        <f>INDEX(products!$A$1:$G$49,MATCH(orders!$D617,products!$A$1:$A$49,0),MATCH(K$1,products!$A$1:$G$1,0))</f>
        <v>2.5</v>
      </c>
      <c r="L617" s="7">
        <f>INDEX(products!$A$1:$G$49,MATCH(orders!$D617,products!$A$1:$A$49,0),MATCH(L$1,products!$A$1:$G$1,0))</f>
        <v>36.454999999999998</v>
      </c>
      <c r="M617" s="7">
        <f t="shared" si="27"/>
        <v>72.91</v>
      </c>
      <c r="N617" t="str">
        <f t="shared" si="28"/>
        <v>Liberica</v>
      </c>
      <c r="O617" t="str">
        <f t="shared" si="29"/>
        <v>Light</v>
      </c>
      <c r="P617" t="str">
        <f>_xlfn.XLOOKUP(Table1[[#This Row],[Customer ID]],customers!$A$2:$A$1001,customers!$I$2:$I$1001,,0)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INDEX(products!$A$1:$G$49,MATCH(orders!$D618,products!$A$1:$A$49,0),MATCH(I$1,products!$A$1:$G$1,0))</f>
        <v>Exc</v>
      </c>
      <c r="J618" t="str">
        <f>INDEX(products!$A$1:$G$49,MATCH(orders!$D618,products!$A$1:$A$49,0),MATCH(J$1,products!$A$1:$G$1,0))</f>
        <v>M</v>
      </c>
      <c r="K618" s="6">
        <f>INDEX(products!$A$1:$G$49,MATCH(orders!$D618,products!$A$1:$A$49,0),MATCH(K$1,products!$A$1:$G$1,0))</f>
        <v>2.5</v>
      </c>
      <c r="L618" s="7">
        <f>INDEX(products!$A$1:$G$49,MATCH(orders!$D618,products!$A$1:$A$49,0),MATCH(L$1,products!$A$1:$G$1,0))</f>
        <v>31.624999999999996</v>
      </c>
      <c r="M618" s="7">
        <f t="shared" si="27"/>
        <v>126.49999999999999</v>
      </c>
      <c r="N618" t="str">
        <f t="shared" si="28"/>
        <v>Excelsa</v>
      </c>
      <c r="O618" t="str">
        <f t="shared" si="29"/>
        <v>Medium</v>
      </c>
      <c r="P618" t="str">
        <f>_xlfn.XLOOKUP(Table1[[#This Row],[Customer ID]],customers!$A$2:$A$1001,customers!$I$2:$I$1001,,0)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INDEX(products!$A$1:$G$49,MATCH(orders!$D619,products!$A$1:$A$49,0),MATCH(I$1,products!$A$1:$G$1,0))</f>
        <v>Lib</v>
      </c>
      <c r="J619" t="str">
        <f>INDEX(products!$A$1:$G$49,MATCH(orders!$D619,products!$A$1:$A$49,0),MATCH(J$1,products!$A$1:$G$1,0))</f>
        <v>M</v>
      </c>
      <c r="K619" s="6">
        <f>INDEX(products!$A$1:$G$49,MATCH(orders!$D619,products!$A$1:$A$49,0),MATCH(K$1,products!$A$1:$G$1,0))</f>
        <v>2.5</v>
      </c>
      <c r="L619" s="7">
        <f>INDEX(products!$A$1:$G$49,MATCH(orders!$D619,products!$A$1:$A$49,0),MATCH(L$1,products!$A$1:$G$1,0))</f>
        <v>33.464999999999996</v>
      </c>
      <c r="M619" s="7">
        <f t="shared" si="27"/>
        <v>33.464999999999996</v>
      </c>
      <c r="N619" t="str">
        <f t="shared" si="28"/>
        <v>Liberica</v>
      </c>
      <c r="O619" t="str">
        <f t="shared" si="29"/>
        <v>Medium</v>
      </c>
      <c r="P619" t="str">
        <f>_xlfn.XLOOKUP(Table1[[#This Row],[Customer ID]],customers!$A$2:$A$1001,customers!$I$2:$I$1001,,0)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INDEX(products!$A$1:$G$49,MATCH(orders!$D620,products!$A$1:$A$49,0),MATCH(I$1,products!$A$1:$G$1,0))</f>
        <v>Exc</v>
      </c>
      <c r="J620" t="str">
        <f>INDEX(products!$A$1:$G$49,MATCH(orders!$D620,products!$A$1:$A$49,0),MATCH(J$1,products!$A$1:$G$1,0))</f>
        <v>D</v>
      </c>
      <c r="K620" s="6">
        <f>INDEX(products!$A$1:$G$49,MATCH(orders!$D620,products!$A$1:$A$49,0),MATCH(K$1,products!$A$1:$G$1,0))</f>
        <v>1</v>
      </c>
      <c r="L620" s="7">
        <f>INDEX(products!$A$1:$G$49,MATCH(orders!$D620,products!$A$1:$A$49,0),MATCH(L$1,products!$A$1:$G$1,0))</f>
        <v>12.15</v>
      </c>
      <c r="M620" s="7">
        <f t="shared" si="27"/>
        <v>72.900000000000006</v>
      </c>
      <c r="N620" t="str">
        <f t="shared" si="28"/>
        <v>Excelsa</v>
      </c>
      <c r="O620" t="str">
        <f t="shared" si="29"/>
        <v>Dark</v>
      </c>
      <c r="P620" t="str">
        <f>_xlfn.XLOOKUP(Table1[[#This Row],[Customer ID]],customers!$A$2:$A$1001,customers!$I$2:$I$1001,,0)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INDEX(products!$A$1:$G$49,MATCH(orders!$D621,products!$A$1:$A$49,0),MATCH(I$1,products!$A$1:$G$1,0))</f>
        <v>Lib</v>
      </c>
      <c r="J621" t="str">
        <f>INDEX(products!$A$1:$G$49,MATCH(orders!$D621,products!$A$1:$A$49,0),MATCH(J$1,products!$A$1:$G$1,0))</f>
        <v>D</v>
      </c>
      <c r="K621" s="6">
        <f>INDEX(products!$A$1:$G$49,MATCH(orders!$D621,products!$A$1:$A$49,0),MATCH(K$1,products!$A$1:$G$1,0))</f>
        <v>0.5</v>
      </c>
      <c r="L621" s="7">
        <f>INDEX(products!$A$1:$G$49,MATCH(orders!$D621,products!$A$1:$A$49,0),MATCH(L$1,products!$A$1:$G$1,0))</f>
        <v>7.77</v>
      </c>
      <c r="M621" s="7">
        <f t="shared" si="27"/>
        <v>15.54</v>
      </c>
      <c r="N621" t="str">
        <f t="shared" si="28"/>
        <v>Liberica</v>
      </c>
      <c r="O621" t="str">
        <f t="shared" si="29"/>
        <v>Dark</v>
      </c>
      <c r="P621" t="str">
        <f>_xlfn.XLOOKUP(Table1[[#This Row],[Customer ID]],customers!$A$2:$A$1001,customers!$I$2:$I$1001,,0)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INDEX(products!$A$1:$G$49,MATCH(orders!$D622,products!$A$1:$A$49,0),MATCH(I$1,products!$A$1:$G$1,0))</f>
        <v>Ara</v>
      </c>
      <c r="J622" t="str">
        <f>INDEX(products!$A$1:$G$49,MATCH(orders!$D622,products!$A$1:$A$49,0),MATCH(J$1,products!$A$1:$G$1,0))</f>
        <v>M</v>
      </c>
      <c r="K622" s="6">
        <f>INDEX(products!$A$1:$G$49,MATCH(orders!$D622,products!$A$1:$A$49,0),MATCH(K$1,products!$A$1:$G$1,0))</f>
        <v>0.2</v>
      </c>
      <c r="L622" s="7">
        <f>INDEX(products!$A$1:$G$49,MATCH(orders!$D622,products!$A$1:$A$49,0),MATCH(L$1,products!$A$1:$G$1,0))</f>
        <v>3.375</v>
      </c>
      <c r="M622" s="7">
        <f t="shared" si="27"/>
        <v>20.25</v>
      </c>
      <c r="N622" t="str">
        <f t="shared" si="28"/>
        <v>Arabica</v>
      </c>
      <c r="O622" t="str">
        <f t="shared" si="29"/>
        <v>Medium</v>
      </c>
      <c r="P622" t="str">
        <f>_xlfn.XLOOKUP(Table1[[#This Row],[Customer ID]],customers!$A$2:$A$1001,customers!$I$2:$I$1001,,0)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INDEX(products!$A$1:$G$49,MATCH(orders!$D623,products!$A$1:$A$49,0),MATCH(I$1,products!$A$1:$G$1,0))</f>
        <v>Ara</v>
      </c>
      <c r="J623" t="str">
        <f>INDEX(products!$A$1:$G$49,MATCH(orders!$D623,products!$A$1:$A$49,0),MATCH(J$1,products!$A$1:$G$1,0))</f>
        <v>L</v>
      </c>
      <c r="K623" s="6">
        <f>INDEX(products!$A$1:$G$49,MATCH(orders!$D623,products!$A$1:$A$49,0),MATCH(K$1,products!$A$1:$G$1,0))</f>
        <v>1</v>
      </c>
      <c r="L623" s="7">
        <f>INDEX(products!$A$1:$G$49,MATCH(orders!$D623,products!$A$1:$A$49,0),MATCH(L$1,products!$A$1:$G$1,0))</f>
        <v>12.95</v>
      </c>
      <c r="M623" s="7">
        <f t="shared" si="27"/>
        <v>77.699999999999989</v>
      </c>
      <c r="N623" t="str">
        <f t="shared" si="28"/>
        <v>Arabica</v>
      </c>
      <c r="O623" t="str">
        <f t="shared" si="29"/>
        <v>Light</v>
      </c>
      <c r="P623" t="str">
        <f>_xlfn.XLOOKUP(Table1[[#This Row],[Customer ID]],customers!$A$2:$A$1001,customers!$I$2:$I$1001,,0)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INDEX(products!$A$1:$G$49,MATCH(orders!$D624,products!$A$1:$A$49,0),MATCH(I$1,products!$A$1:$G$1,0))</f>
        <v>Lib</v>
      </c>
      <c r="J624" t="str">
        <f>INDEX(products!$A$1:$G$49,MATCH(orders!$D624,products!$A$1:$A$49,0),MATCH(J$1,products!$A$1:$G$1,0))</f>
        <v>M</v>
      </c>
      <c r="K624" s="6">
        <f>INDEX(products!$A$1:$G$49,MATCH(orders!$D624,products!$A$1:$A$49,0),MATCH(K$1,products!$A$1:$G$1,0))</f>
        <v>2.5</v>
      </c>
      <c r="L624" s="7">
        <f>INDEX(products!$A$1:$G$49,MATCH(orders!$D624,products!$A$1:$A$49,0),MATCH(L$1,products!$A$1:$G$1,0))</f>
        <v>33.464999999999996</v>
      </c>
      <c r="M624" s="7">
        <f t="shared" si="27"/>
        <v>133.85999999999999</v>
      </c>
      <c r="N624" t="str">
        <f t="shared" si="28"/>
        <v>Liberica</v>
      </c>
      <c r="O624" t="str">
        <f t="shared" si="29"/>
        <v>Medium</v>
      </c>
      <c r="P624" t="str">
        <f>_xlfn.XLOOKUP(Table1[[#This Row],[Customer ID]],customers!$A$2:$A$1001,customers!$I$2:$I$1001,,0)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INDEX(products!$A$1:$G$49,MATCH(orders!$D625,products!$A$1:$A$49,0),MATCH(I$1,products!$A$1:$G$1,0))</f>
        <v>Exc</v>
      </c>
      <c r="J625" t="str">
        <f>INDEX(products!$A$1:$G$49,MATCH(orders!$D625,products!$A$1:$A$49,0),MATCH(J$1,products!$A$1:$G$1,0))</f>
        <v>D</v>
      </c>
      <c r="K625" s="6">
        <f>INDEX(products!$A$1:$G$49,MATCH(orders!$D625,products!$A$1:$A$49,0),MATCH(K$1,products!$A$1:$G$1,0))</f>
        <v>1</v>
      </c>
      <c r="L625" s="7">
        <f>INDEX(products!$A$1:$G$49,MATCH(orders!$D625,products!$A$1:$A$49,0),MATCH(L$1,products!$A$1:$G$1,0))</f>
        <v>12.15</v>
      </c>
      <c r="M625" s="7">
        <f t="shared" si="27"/>
        <v>12.15</v>
      </c>
      <c r="N625" t="str">
        <f t="shared" si="28"/>
        <v>Excelsa</v>
      </c>
      <c r="O625" t="str">
        <f t="shared" si="29"/>
        <v>Dark</v>
      </c>
      <c r="P625" t="str">
        <f>_xlfn.XLOOKUP(Table1[[#This Row],[Customer ID]],customers!$A$2:$A$1001,customers!$I$2:$I$1001,,0)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INDEX(products!$A$1:$G$49,MATCH(orders!$D626,products!$A$1:$A$49,0),MATCH(I$1,products!$A$1:$G$1,0))</f>
        <v>Exc</v>
      </c>
      <c r="J626" t="str">
        <f>INDEX(products!$A$1:$G$49,MATCH(orders!$D626,products!$A$1:$A$49,0),MATCH(J$1,products!$A$1:$G$1,0))</f>
        <v>M</v>
      </c>
      <c r="K626" s="6">
        <f>INDEX(products!$A$1:$G$49,MATCH(orders!$D626,products!$A$1:$A$49,0),MATCH(K$1,products!$A$1:$G$1,0))</f>
        <v>2.5</v>
      </c>
      <c r="L626" s="7">
        <f>INDEX(products!$A$1:$G$49,MATCH(orders!$D626,products!$A$1:$A$49,0),MATCH(L$1,products!$A$1:$G$1,0))</f>
        <v>31.624999999999996</v>
      </c>
      <c r="M626" s="7">
        <f t="shared" si="27"/>
        <v>63.249999999999993</v>
      </c>
      <c r="N626" t="str">
        <f t="shared" si="28"/>
        <v>Excelsa</v>
      </c>
      <c r="O626" t="str">
        <f t="shared" si="29"/>
        <v>Medium</v>
      </c>
      <c r="P626" t="str">
        <f>_xlfn.XLOOKUP(Table1[[#This Row],[Customer ID]],customers!$A$2:$A$1001,customers!$I$2:$I$1001,,0)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INDEX(products!$A$1:$G$49,MATCH(orders!$D627,products!$A$1:$A$49,0),MATCH(I$1,products!$A$1:$G$1,0))</f>
        <v>Rob</v>
      </c>
      <c r="J627" t="str">
        <f>INDEX(products!$A$1:$G$49,MATCH(orders!$D627,products!$A$1:$A$49,0),MATCH(J$1,products!$A$1:$G$1,0))</f>
        <v>L</v>
      </c>
      <c r="K627" s="6">
        <f>INDEX(products!$A$1:$G$49,MATCH(orders!$D627,products!$A$1:$A$49,0),MATCH(K$1,products!$A$1:$G$1,0))</f>
        <v>0.5</v>
      </c>
      <c r="L627" s="7">
        <f>INDEX(products!$A$1:$G$49,MATCH(orders!$D627,products!$A$1:$A$49,0),MATCH(L$1,products!$A$1:$G$1,0))</f>
        <v>7.169999999999999</v>
      </c>
      <c r="M627" s="7">
        <f t="shared" si="27"/>
        <v>35.849999999999994</v>
      </c>
      <c r="N627" t="str">
        <f t="shared" si="28"/>
        <v>Robusta</v>
      </c>
      <c r="O627" t="str">
        <f t="shared" si="29"/>
        <v>Light</v>
      </c>
      <c r="P627" t="str">
        <f>_xlfn.XLOOKUP(Table1[[#This Row],[Customer ID]],customers!$A$2:$A$1001,customers!$I$2:$I$1001,,0)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INDEX(products!$A$1:$G$49,MATCH(orders!$D628,products!$A$1:$A$49,0),MATCH(I$1,products!$A$1:$G$1,0))</f>
        <v>Ara</v>
      </c>
      <c r="J628" t="str">
        <f>INDEX(products!$A$1:$G$49,MATCH(orders!$D628,products!$A$1:$A$49,0),MATCH(J$1,products!$A$1:$G$1,0))</f>
        <v>M</v>
      </c>
      <c r="K628" s="6">
        <f>INDEX(products!$A$1:$G$49,MATCH(orders!$D628,products!$A$1:$A$49,0),MATCH(K$1,products!$A$1:$G$1,0))</f>
        <v>2.5</v>
      </c>
      <c r="L628" s="7">
        <f>INDEX(products!$A$1:$G$49,MATCH(orders!$D628,products!$A$1:$A$49,0),MATCH(L$1,products!$A$1:$G$1,0))</f>
        <v>25.874999999999996</v>
      </c>
      <c r="M628" s="7">
        <f t="shared" si="27"/>
        <v>77.624999999999986</v>
      </c>
      <c r="N628" t="str">
        <f t="shared" si="28"/>
        <v>Arabica</v>
      </c>
      <c r="O628" t="str">
        <f t="shared" si="29"/>
        <v>Medium</v>
      </c>
      <c r="P628" t="str">
        <f>_xlfn.XLOOKUP(Table1[[#This Row],[Customer ID]],customers!$A$2:$A$1001,customers!$I$2:$I$1001,,0)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INDEX(products!$A$1:$G$49,MATCH(orders!$D629,products!$A$1:$A$49,0),MATCH(I$1,products!$A$1:$G$1,0))</f>
        <v>Exc</v>
      </c>
      <c r="J629" t="str">
        <f>INDEX(products!$A$1:$G$49,MATCH(orders!$D629,products!$A$1:$A$49,0),MATCH(J$1,products!$A$1:$G$1,0))</f>
        <v>M</v>
      </c>
      <c r="K629" s="6">
        <f>INDEX(products!$A$1:$G$49,MATCH(orders!$D629,products!$A$1:$A$49,0),MATCH(K$1,products!$A$1:$G$1,0))</f>
        <v>2.5</v>
      </c>
      <c r="L629" s="7">
        <f>INDEX(products!$A$1:$G$49,MATCH(orders!$D629,products!$A$1:$A$49,0),MATCH(L$1,products!$A$1:$G$1,0))</f>
        <v>31.624999999999996</v>
      </c>
      <c r="M629" s="7">
        <f t="shared" si="27"/>
        <v>63.249999999999993</v>
      </c>
      <c r="N629" t="str">
        <f t="shared" si="28"/>
        <v>Excelsa</v>
      </c>
      <c r="O629" t="str">
        <f t="shared" si="29"/>
        <v>Medium</v>
      </c>
      <c r="P629" t="str">
        <f>_xlfn.XLOOKUP(Table1[[#This Row],[Customer ID]],customers!$A$2:$A$1001,customers!$I$2:$I$1001,,0)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INDEX(products!$A$1:$G$49,MATCH(orders!$D630,products!$A$1:$A$49,0),MATCH(I$1,products!$A$1:$G$1,0))</f>
        <v>Exc</v>
      </c>
      <c r="J630" t="str">
        <f>INDEX(products!$A$1:$G$49,MATCH(orders!$D630,products!$A$1:$A$49,0),MATCH(J$1,products!$A$1:$G$1,0))</f>
        <v>L</v>
      </c>
      <c r="K630" s="6">
        <f>INDEX(products!$A$1:$G$49,MATCH(orders!$D630,products!$A$1:$A$49,0),MATCH(K$1,products!$A$1:$G$1,0))</f>
        <v>0.2</v>
      </c>
      <c r="L630" s="7">
        <f>INDEX(products!$A$1:$G$49,MATCH(orders!$D630,products!$A$1:$A$49,0),MATCH(L$1,products!$A$1:$G$1,0))</f>
        <v>4.4550000000000001</v>
      </c>
      <c r="M630" s="7">
        <f t="shared" si="27"/>
        <v>26.73</v>
      </c>
      <c r="N630" t="str">
        <f t="shared" si="28"/>
        <v>Excelsa</v>
      </c>
      <c r="O630" t="str">
        <f t="shared" si="29"/>
        <v>Light</v>
      </c>
      <c r="P630" t="str">
        <f>_xlfn.XLOOKUP(Table1[[#This Row],[Customer ID]],customers!$A$2:$A$1001,customers!$I$2:$I$1001,,0)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INDEX(products!$A$1:$G$49,MATCH(orders!$D631,products!$A$1:$A$49,0),MATCH(I$1,products!$A$1:$G$1,0))</f>
        <v>Lib</v>
      </c>
      <c r="J631" t="str">
        <f>INDEX(products!$A$1:$G$49,MATCH(orders!$D631,products!$A$1:$A$49,0),MATCH(J$1,products!$A$1:$G$1,0))</f>
        <v>D</v>
      </c>
      <c r="K631" s="6">
        <f>INDEX(products!$A$1:$G$49,MATCH(orders!$D631,products!$A$1:$A$49,0),MATCH(K$1,products!$A$1:$G$1,0))</f>
        <v>0.5</v>
      </c>
      <c r="L631" s="7">
        <f>INDEX(products!$A$1:$G$49,MATCH(orders!$D631,products!$A$1:$A$49,0),MATCH(L$1,products!$A$1:$G$1,0))</f>
        <v>7.77</v>
      </c>
      <c r="M631" s="7">
        <f t="shared" si="27"/>
        <v>31.08</v>
      </c>
      <c r="N631" t="str">
        <f t="shared" si="28"/>
        <v>Liberica</v>
      </c>
      <c r="O631" t="str">
        <f t="shared" si="29"/>
        <v>Dark</v>
      </c>
      <c r="P631" t="str">
        <f>_xlfn.XLOOKUP(Table1[[#This Row],[Customer ID]],customers!$A$2:$A$1001,customers!$I$2:$I$1001,,0)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INDEX(products!$A$1:$G$49,MATCH(orders!$D632,products!$A$1:$A$49,0),MATCH(I$1,products!$A$1:$G$1,0))</f>
        <v>Ara</v>
      </c>
      <c r="J632" t="str">
        <f>INDEX(products!$A$1:$G$49,MATCH(orders!$D632,products!$A$1:$A$49,0),MATCH(J$1,products!$A$1:$G$1,0))</f>
        <v>D</v>
      </c>
      <c r="K632" s="6">
        <f>INDEX(products!$A$1:$G$49,MATCH(orders!$D632,products!$A$1:$A$49,0),MATCH(K$1,products!$A$1:$G$1,0))</f>
        <v>0.2</v>
      </c>
      <c r="L632" s="7">
        <f>INDEX(products!$A$1:$G$49,MATCH(orders!$D632,products!$A$1:$A$49,0),MATCH(L$1,products!$A$1:$G$1,0))</f>
        <v>2.9849999999999999</v>
      </c>
      <c r="M632" s="7">
        <f t="shared" si="27"/>
        <v>2.9849999999999999</v>
      </c>
      <c r="N632" t="str">
        <f t="shared" si="28"/>
        <v>Arabica</v>
      </c>
      <c r="O632" t="str">
        <f t="shared" si="29"/>
        <v>Dark</v>
      </c>
      <c r="P632" t="str">
        <f>_xlfn.XLOOKUP(Table1[[#This Row],[Customer ID]],customers!$A$2:$A$1001,customers!$I$2:$I$1001,,0)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INDEX(products!$A$1:$G$49,MATCH(orders!$D633,products!$A$1:$A$49,0),MATCH(I$1,products!$A$1:$G$1,0))</f>
        <v>Rob</v>
      </c>
      <c r="J633" t="str">
        <f>INDEX(products!$A$1:$G$49,MATCH(orders!$D633,products!$A$1:$A$49,0),MATCH(J$1,products!$A$1:$G$1,0))</f>
        <v>D</v>
      </c>
      <c r="K633" s="6">
        <f>INDEX(products!$A$1:$G$49,MATCH(orders!$D633,products!$A$1:$A$49,0),MATCH(K$1,products!$A$1:$G$1,0))</f>
        <v>2.5</v>
      </c>
      <c r="L633" s="7">
        <f>INDEX(products!$A$1:$G$49,MATCH(orders!$D633,products!$A$1:$A$49,0),MATCH(L$1,products!$A$1:$G$1,0))</f>
        <v>20.584999999999997</v>
      </c>
      <c r="M633" s="7">
        <f t="shared" si="27"/>
        <v>102.92499999999998</v>
      </c>
      <c r="N633" t="str">
        <f t="shared" si="28"/>
        <v>Robusta</v>
      </c>
      <c r="O633" t="str">
        <f t="shared" si="29"/>
        <v>Dark</v>
      </c>
      <c r="P633" t="str">
        <f>_xlfn.XLOOKUP(Table1[[#This Row],[Customer ID]],customers!$A$2:$A$1001,customers!$I$2:$I$1001,,0)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INDEX(products!$A$1:$G$49,MATCH(orders!$D634,products!$A$1:$A$49,0),MATCH(I$1,products!$A$1:$G$1,0))</f>
        <v>Exc</v>
      </c>
      <c r="J634" t="str">
        <f>INDEX(products!$A$1:$G$49,MATCH(orders!$D634,products!$A$1:$A$49,0),MATCH(J$1,products!$A$1:$G$1,0))</f>
        <v>L</v>
      </c>
      <c r="K634" s="6">
        <f>INDEX(products!$A$1:$G$49,MATCH(orders!$D634,products!$A$1:$A$49,0),MATCH(K$1,products!$A$1:$G$1,0))</f>
        <v>0.5</v>
      </c>
      <c r="L634" s="7">
        <f>INDEX(products!$A$1:$G$49,MATCH(orders!$D634,products!$A$1:$A$49,0),MATCH(L$1,products!$A$1:$G$1,0))</f>
        <v>8.91</v>
      </c>
      <c r="M634" s="7">
        <f t="shared" si="27"/>
        <v>35.64</v>
      </c>
      <c r="N634" t="str">
        <f t="shared" si="28"/>
        <v>Excelsa</v>
      </c>
      <c r="O634" t="str">
        <f t="shared" si="29"/>
        <v>Light</v>
      </c>
      <c r="P634" t="str">
        <f>_xlfn.XLOOKUP(Table1[[#This Row],[Customer ID]],customers!$A$2:$A$1001,customers!$I$2:$I$1001,,0)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INDEX(products!$A$1:$G$49,MATCH(orders!$D635,products!$A$1:$A$49,0),MATCH(I$1,products!$A$1:$G$1,0))</f>
        <v>Rob</v>
      </c>
      <c r="J635" t="str">
        <f>INDEX(products!$A$1:$G$49,MATCH(orders!$D635,products!$A$1:$A$49,0),MATCH(J$1,products!$A$1:$G$1,0))</f>
        <v>L</v>
      </c>
      <c r="K635" s="6">
        <f>INDEX(products!$A$1:$G$49,MATCH(orders!$D635,products!$A$1:$A$49,0),MATCH(K$1,products!$A$1:$G$1,0))</f>
        <v>1</v>
      </c>
      <c r="L635" s="7">
        <f>INDEX(products!$A$1:$G$49,MATCH(orders!$D635,products!$A$1:$A$49,0),MATCH(L$1,products!$A$1:$G$1,0))</f>
        <v>11.95</v>
      </c>
      <c r="M635" s="7">
        <f t="shared" si="27"/>
        <v>47.8</v>
      </c>
      <c r="N635" t="str">
        <f t="shared" si="28"/>
        <v>Robusta</v>
      </c>
      <c r="O635" t="str">
        <f t="shared" si="29"/>
        <v>Light</v>
      </c>
      <c r="P635" t="str">
        <f>_xlfn.XLOOKUP(Table1[[#This Row],[Customer ID]],customers!$A$2:$A$1001,customers!$I$2:$I$1001,,0)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INDEX(products!$A$1:$G$49,MATCH(orders!$D636,products!$A$1:$A$49,0),MATCH(I$1,products!$A$1:$G$1,0))</f>
        <v>Lib</v>
      </c>
      <c r="J636" t="str">
        <f>INDEX(products!$A$1:$G$49,MATCH(orders!$D636,products!$A$1:$A$49,0),MATCH(J$1,products!$A$1:$G$1,0))</f>
        <v>M</v>
      </c>
      <c r="K636" s="6">
        <f>INDEX(products!$A$1:$G$49,MATCH(orders!$D636,products!$A$1:$A$49,0),MATCH(K$1,products!$A$1:$G$1,0))</f>
        <v>1</v>
      </c>
      <c r="L636" s="7">
        <f>INDEX(products!$A$1:$G$49,MATCH(orders!$D636,products!$A$1:$A$49,0),MATCH(L$1,products!$A$1:$G$1,0))</f>
        <v>14.55</v>
      </c>
      <c r="M636" s="7">
        <f t="shared" si="27"/>
        <v>43.650000000000006</v>
      </c>
      <c r="N636" t="str">
        <f t="shared" si="28"/>
        <v>Liberica</v>
      </c>
      <c r="O636" t="str">
        <f t="shared" si="29"/>
        <v>Medium</v>
      </c>
      <c r="P636" t="str">
        <f>_xlfn.XLOOKUP(Table1[[#This Row],[Customer ID]],customers!$A$2:$A$1001,customers!$I$2:$I$1001,,0)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INDEX(products!$A$1:$G$49,MATCH(orders!$D637,products!$A$1:$A$49,0),MATCH(I$1,products!$A$1:$G$1,0))</f>
        <v>Exc</v>
      </c>
      <c r="J637" t="str">
        <f>INDEX(products!$A$1:$G$49,MATCH(orders!$D637,products!$A$1:$A$49,0),MATCH(J$1,products!$A$1:$G$1,0))</f>
        <v>L</v>
      </c>
      <c r="K637" s="6">
        <f>INDEX(products!$A$1:$G$49,MATCH(orders!$D637,products!$A$1:$A$49,0),MATCH(K$1,products!$A$1:$G$1,0))</f>
        <v>0.5</v>
      </c>
      <c r="L637" s="7">
        <f>INDEX(products!$A$1:$G$49,MATCH(orders!$D637,products!$A$1:$A$49,0),MATCH(L$1,products!$A$1:$G$1,0))</f>
        <v>8.91</v>
      </c>
      <c r="M637" s="7">
        <f t="shared" si="27"/>
        <v>35.64</v>
      </c>
      <c r="N637" t="str">
        <f t="shared" si="28"/>
        <v>Excelsa</v>
      </c>
      <c r="O637" t="str">
        <f t="shared" si="29"/>
        <v>Light</v>
      </c>
      <c r="P637" t="str">
        <f>_xlfn.XLOOKUP(Table1[[#This Row],[Customer ID]],customers!$A$2:$A$1001,customers!$I$2:$I$1001,,0)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INDEX(products!$A$1:$G$49,MATCH(orders!$D638,products!$A$1:$A$49,0),MATCH(I$1,products!$A$1:$G$1,0))</f>
        <v>Lib</v>
      </c>
      <c r="J638" t="str">
        <f>INDEX(products!$A$1:$G$49,MATCH(orders!$D638,products!$A$1:$A$49,0),MATCH(J$1,products!$A$1:$G$1,0))</f>
        <v>L</v>
      </c>
      <c r="K638" s="6">
        <f>INDEX(products!$A$1:$G$49,MATCH(orders!$D638,products!$A$1:$A$49,0),MATCH(K$1,products!$A$1:$G$1,0))</f>
        <v>1</v>
      </c>
      <c r="L638" s="7">
        <f>INDEX(products!$A$1:$G$49,MATCH(orders!$D638,products!$A$1:$A$49,0),MATCH(L$1,products!$A$1:$G$1,0))</f>
        <v>15.85</v>
      </c>
      <c r="M638" s="7">
        <f t="shared" si="27"/>
        <v>95.1</v>
      </c>
      <c r="N638" t="str">
        <f t="shared" si="28"/>
        <v>Liberica</v>
      </c>
      <c r="O638" t="str">
        <f t="shared" si="29"/>
        <v>Light</v>
      </c>
      <c r="P638" t="str">
        <f>_xlfn.XLOOKUP(Table1[[#This Row],[Customer ID]],customers!$A$2:$A$1001,customers!$I$2:$I$1001,,0)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INDEX(products!$A$1:$G$49,MATCH(orders!$D639,products!$A$1:$A$49,0),MATCH(I$1,products!$A$1:$G$1,0))</f>
        <v>Exc</v>
      </c>
      <c r="J639" t="str">
        <f>INDEX(products!$A$1:$G$49,MATCH(orders!$D639,products!$A$1:$A$49,0),MATCH(J$1,products!$A$1:$G$1,0))</f>
        <v>M</v>
      </c>
      <c r="K639" s="6">
        <f>INDEX(products!$A$1:$G$49,MATCH(orders!$D639,products!$A$1:$A$49,0),MATCH(K$1,products!$A$1:$G$1,0))</f>
        <v>2.5</v>
      </c>
      <c r="L639" s="7">
        <f>INDEX(products!$A$1:$G$49,MATCH(orders!$D639,products!$A$1:$A$49,0),MATCH(L$1,products!$A$1:$G$1,0))</f>
        <v>31.624999999999996</v>
      </c>
      <c r="M639" s="7">
        <f t="shared" si="27"/>
        <v>31.624999999999996</v>
      </c>
      <c r="N639" t="str">
        <f t="shared" si="28"/>
        <v>Excelsa</v>
      </c>
      <c r="O639" t="str">
        <f t="shared" si="29"/>
        <v>Medium</v>
      </c>
      <c r="P639" t="str">
        <f>_xlfn.XLOOKUP(Table1[[#This Row],[Customer ID]],customers!$A$2:$A$1001,customers!$I$2:$I$1001,,0)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INDEX(products!$A$1:$G$49,MATCH(orders!$D640,products!$A$1:$A$49,0),MATCH(I$1,products!$A$1:$G$1,0))</f>
        <v>Ara</v>
      </c>
      <c r="J640" t="str">
        <f>INDEX(products!$A$1:$G$49,MATCH(orders!$D640,products!$A$1:$A$49,0),MATCH(J$1,products!$A$1:$G$1,0))</f>
        <v>M</v>
      </c>
      <c r="K640" s="6">
        <f>INDEX(products!$A$1:$G$49,MATCH(orders!$D640,products!$A$1:$A$49,0),MATCH(K$1,products!$A$1:$G$1,0))</f>
        <v>2.5</v>
      </c>
      <c r="L640" s="7">
        <f>INDEX(products!$A$1:$G$49,MATCH(orders!$D640,products!$A$1:$A$49,0),MATCH(L$1,products!$A$1:$G$1,0))</f>
        <v>25.874999999999996</v>
      </c>
      <c r="M640" s="7">
        <f t="shared" si="27"/>
        <v>77.624999999999986</v>
      </c>
      <c r="N640" t="str">
        <f t="shared" si="28"/>
        <v>Arabica</v>
      </c>
      <c r="O640" t="str">
        <f t="shared" si="29"/>
        <v>Medium</v>
      </c>
      <c r="P640" t="str">
        <f>_xlfn.XLOOKUP(Table1[[#This Row],[Customer ID]],customers!$A$2:$A$1001,customers!$I$2:$I$1001,,0)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INDEX(products!$A$1:$G$49,MATCH(orders!$D641,products!$A$1:$A$49,0),MATCH(I$1,products!$A$1:$G$1,0))</f>
        <v>Lib</v>
      </c>
      <c r="J641" t="str">
        <f>INDEX(products!$A$1:$G$49,MATCH(orders!$D641,products!$A$1:$A$49,0),MATCH(J$1,products!$A$1:$G$1,0))</f>
        <v>D</v>
      </c>
      <c r="K641" s="6">
        <f>INDEX(products!$A$1:$G$49,MATCH(orders!$D641,products!$A$1:$A$49,0),MATCH(K$1,products!$A$1:$G$1,0))</f>
        <v>0.2</v>
      </c>
      <c r="L641" s="7">
        <f>INDEX(products!$A$1:$G$49,MATCH(orders!$D641,products!$A$1:$A$49,0),MATCH(L$1,products!$A$1:$G$1,0))</f>
        <v>3.8849999999999998</v>
      </c>
      <c r="M641" s="7">
        <f t="shared" si="27"/>
        <v>3.8849999999999998</v>
      </c>
      <c r="N641" t="str">
        <f t="shared" si="28"/>
        <v>Liberica</v>
      </c>
      <c r="O641" t="str">
        <f t="shared" si="29"/>
        <v>Dark</v>
      </c>
      <c r="P641" t="str">
        <f>_xlfn.XLOOKUP(Table1[[#This Row],[Customer ID]],customers!$A$2:$A$1001,customers!$I$2:$I$1001,,0)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INDEX(products!$A$1:$G$49,MATCH(orders!$D642,products!$A$1:$A$49,0),MATCH(I$1,products!$A$1:$G$1,0))</f>
        <v>Rob</v>
      </c>
      <c r="J642" t="str">
        <f>INDEX(products!$A$1:$G$49,MATCH(orders!$D642,products!$A$1:$A$49,0),MATCH(J$1,products!$A$1:$G$1,0))</f>
        <v>L</v>
      </c>
      <c r="K642" s="6">
        <f>INDEX(products!$A$1:$G$49,MATCH(orders!$D642,products!$A$1:$A$49,0),MATCH(K$1,products!$A$1:$G$1,0))</f>
        <v>2.5</v>
      </c>
      <c r="L642" s="7">
        <f>INDEX(products!$A$1:$G$49,MATCH(orders!$D642,products!$A$1:$A$49,0),MATCH(L$1,products!$A$1:$G$1,0))</f>
        <v>27.484999999999996</v>
      </c>
      <c r="M642" s="7">
        <f t="shared" si="27"/>
        <v>137.42499999999998</v>
      </c>
      <c r="N642" t="str">
        <f t="shared" si="28"/>
        <v>Robusta</v>
      </c>
      <c r="O642" t="str">
        <f t="shared" si="29"/>
        <v>Light</v>
      </c>
      <c r="P642" t="str">
        <f>_xlfn.XLOOKUP(Table1[[#This Row],[Customer ID]],customers!$A$2:$A$1001,customers!$I$2:$I$1001,,0)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INDEX(products!$A$1:$G$49,MATCH(orders!$D643,products!$A$1:$A$49,0),MATCH(I$1,products!$A$1:$G$1,0))</f>
        <v>Rob</v>
      </c>
      <c r="J643" t="str">
        <f>INDEX(products!$A$1:$G$49,MATCH(orders!$D643,products!$A$1:$A$49,0),MATCH(J$1,products!$A$1:$G$1,0))</f>
        <v>L</v>
      </c>
      <c r="K643" s="6">
        <f>INDEX(products!$A$1:$G$49,MATCH(orders!$D643,products!$A$1:$A$49,0),MATCH(K$1,products!$A$1:$G$1,0))</f>
        <v>1</v>
      </c>
      <c r="L643" s="7">
        <f>INDEX(products!$A$1:$G$49,MATCH(orders!$D643,products!$A$1:$A$49,0),MATCH(L$1,products!$A$1:$G$1,0))</f>
        <v>11.95</v>
      </c>
      <c r="M643" s="7">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_xlfn.XLOOKUP(Table1[[#This Row],[Customer ID]],customers!$A$2:$A$1001,customers!$I$2:$I$1001,,0)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INDEX(products!$A$1:$G$49,MATCH(orders!$D644,products!$A$1:$A$49,0),MATCH(I$1,products!$A$1:$G$1,0))</f>
        <v>Exc</v>
      </c>
      <c r="J644" t="str">
        <f>INDEX(products!$A$1:$G$49,MATCH(orders!$D644,products!$A$1:$A$49,0),MATCH(J$1,products!$A$1:$G$1,0))</f>
        <v>M</v>
      </c>
      <c r="K644" s="6">
        <f>INDEX(products!$A$1:$G$49,MATCH(orders!$D644,products!$A$1:$A$49,0),MATCH(K$1,products!$A$1:$G$1,0))</f>
        <v>0.2</v>
      </c>
      <c r="L644" s="7">
        <f>INDEX(products!$A$1:$G$49,MATCH(orders!$D644,products!$A$1:$A$49,0),MATCH(L$1,products!$A$1:$G$1,0))</f>
        <v>4.125</v>
      </c>
      <c r="M644" s="7">
        <f t="shared" si="30"/>
        <v>8.25</v>
      </c>
      <c r="N644" t="str">
        <f t="shared" si="31"/>
        <v>Excelsa</v>
      </c>
      <c r="O644" t="str">
        <f t="shared" si="32"/>
        <v>Medium</v>
      </c>
      <c r="P644" t="str">
        <f>_xlfn.XLOOKUP(Table1[[#This Row],[Customer ID]],customers!$A$2:$A$1001,customers!$I$2:$I$1001,,0)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INDEX(products!$A$1:$G$49,MATCH(orders!$D645,products!$A$1:$A$49,0),MATCH(I$1,products!$A$1:$G$1,0))</f>
        <v>Exc</v>
      </c>
      <c r="J645" t="str">
        <f>INDEX(products!$A$1:$G$49,MATCH(orders!$D645,products!$A$1:$A$49,0),MATCH(J$1,products!$A$1:$G$1,0))</f>
        <v>L</v>
      </c>
      <c r="K645" s="6">
        <f>INDEX(products!$A$1:$G$49,MATCH(orders!$D645,products!$A$1:$A$49,0),MATCH(K$1,products!$A$1:$G$1,0))</f>
        <v>2.5</v>
      </c>
      <c r="L645" s="7">
        <f>INDEX(products!$A$1:$G$49,MATCH(orders!$D645,products!$A$1:$A$49,0),MATCH(L$1,products!$A$1:$G$1,0))</f>
        <v>34.154999999999994</v>
      </c>
      <c r="M645" s="7">
        <f t="shared" si="30"/>
        <v>102.46499999999997</v>
      </c>
      <c r="N645" t="str">
        <f t="shared" si="31"/>
        <v>Excelsa</v>
      </c>
      <c r="O645" t="str">
        <f t="shared" si="32"/>
        <v>Light</v>
      </c>
      <c r="P645" t="str">
        <f>_xlfn.XLOOKUP(Table1[[#This Row],[Customer ID]],customers!$A$2:$A$1001,customers!$I$2:$I$1001,,0)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INDEX(products!$A$1:$G$49,MATCH(orders!$D646,products!$A$1:$A$49,0),MATCH(I$1,products!$A$1:$G$1,0))</f>
        <v>Rob</v>
      </c>
      <c r="J646" t="str">
        <f>INDEX(products!$A$1:$G$49,MATCH(orders!$D646,products!$A$1:$A$49,0),MATCH(J$1,products!$A$1:$G$1,0))</f>
        <v>D</v>
      </c>
      <c r="K646" s="6">
        <f>INDEX(products!$A$1:$G$49,MATCH(orders!$D646,products!$A$1:$A$49,0),MATCH(K$1,products!$A$1:$G$1,0))</f>
        <v>2.5</v>
      </c>
      <c r="L646" s="7">
        <f>INDEX(products!$A$1:$G$49,MATCH(orders!$D646,products!$A$1:$A$49,0),MATCH(L$1,products!$A$1:$G$1,0))</f>
        <v>20.584999999999997</v>
      </c>
      <c r="M646" s="7">
        <f t="shared" si="30"/>
        <v>41.169999999999995</v>
      </c>
      <c r="N646" t="str">
        <f t="shared" si="31"/>
        <v>Robusta</v>
      </c>
      <c r="O646" t="str">
        <f t="shared" si="32"/>
        <v>Dark</v>
      </c>
      <c r="P646" t="str">
        <f>_xlfn.XLOOKUP(Table1[[#This Row],[Customer ID]],customers!$A$2:$A$1001,customers!$I$2:$I$1001,,0)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INDEX(products!$A$1:$G$49,MATCH(orders!$D647,products!$A$1:$A$49,0),MATCH(I$1,products!$A$1:$G$1,0))</f>
        <v>Ara</v>
      </c>
      <c r="J647" t="str">
        <f>INDEX(products!$A$1:$G$49,MATCH(orders!$D647,products!$A$1:$A$49,0),MATCH(J$1,products!$A$1:$G$1,0))</f>
        <v>D</v>
      </c>
      <c r="K647" s="6">
        <f>INDEX(products!$A$1:$G$49,MATCH(orders!$D647,products!$A$1:$A$49,0),MATCH(K$1,products!$A$1:$G$1,0))</f>
        <v>2.5</v>
      </c>
      <c r="L647" s="7">
        <f>INDEX(products!$A$1:$G$49,MATCH(orders!$D647,products!$A$1:$A$49,0),MATCH(L$1,products!$A$1:$G$1,0))</f>
        <v>22.884999999999998</v>
      </c>
      <c r="M647" s="7">
        <f t="shared" si="30"/>
        <v>68.655000000000001</v>
      </c>
      <c r="N647" t="str">
        <f t="shared" si="31"/>
        <v>Arabica</v>
      </c>
      <c r="O647" t="str">
        <f t="shared" si="32"/>
        <v>Dark</v>
      </c>
      <c r="P647" t="str">
        <f>_xlfn.XLOOKUP(Table1[[#This Row],[Customer ID]],customers!$A$2:$A$1001,customers!$I$2:$I$1001,,0)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INDEX(products!$A$1:$G$49,MATCH(orders!$D648,products!$A$1:$A$49,0),MATCH(I$1,products!$A$1:$G$1,0))</f>
        <v>Ara</v>
      </c>
      <c r="J648" t="str">
        <f>INDEX(products!$A$1:$G$49,MATCH(orders!$D648,products!$A$1:$A$49,0),MATCH(J$1,products!$A$1:$G$1,0))</f>
        <v>D</v>
      </c>
      <c r="K648" s="6">
        <f>INDEX(products!$A$1:$G$49,MATCH(orders!$D648,products!$A$1:$A$49,0),MATCH(K$1,products!$A$1:$G$1,0))</f>
        <v>1</v>
      </c>
      <c r="L648" s="7">
        <f>INDEX(products!$A$1:$G$49,MATCH(orders!$D648,products!$A$1:$A$49,0),MATCH(L$1,products!$A$1:$G$1,0))</f>
        <v>9.9499999999999993</v>
      </c>
      <c r="M648" s="7">
        <f t="shared" si="30"/>
        <v>9.9499999999999993</v>
      </c>
      <c r="N648" t="str">
        <f t="shared" si="31"/>
        <v>Arabica</v>
      </c>
      <c r="O648" t="str">
        <f t="shared" si="32"/>
        <v>Dark</v>
      </c>
      <c r="P648" t="str">
        <f>_xlfn.XLOOKUP(Table1[[#This Row],[Customer ID]],customers!$A$2:$A$1001,customers!$I$2:$I$1001,,0)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INDEX(products!$A$1:$G$49,MATCH(orders!$D649,products!$A$1:$A$49,0),MATCH(I$1,products!$A$1:$G$1,0))</f>
        <v>Lib</v>
      </c>
      <c r="J649" t="str">
        <f>INDEX(products!$A$1:$G$49,MATCH(orders!$D649,products!$A$1:$A$49,0),MATCH(J$1,products!$A$1:$G$1,0))</f>
        <v>L</v>
      </c>
      <c r="K649" s="6">
        <f>INDEX(products!$A$1:$G$49,MATCH(orders!$D649,products!$A$1:$A$49,0),MATCH(K$1,products!$A$1:$G$1,0))</f>
        <v>0.5</v>
      </c>
      <c r="L649" s="7">
        <f>INDEX(products!$A$1:$G$49,MATCH(orders!$D649,products!$A$1:$A$49,0),MATCH(L$1,products!$A$1:$G$1,0))</f>
        <v>9.51</v>
      </c>
      <c r="M649" s="7">
        <f t="shared" si="30"/>
        <v>28.53</v>
      </c>
      <c r="N649" t="str">
        <f t="shared" si="31"/>
        <v>Liberica</v>
      </c>
      <c r="O649" t="str">
        <f t="shared" si="32"/>
        <v>Light</v>
      </c>
      <c r="P649" t="str">
        <f>_xlfn.XLOOKUP(Table1[[#This Row],[Customer ID]],customers!$A$2:$A$1001,customers!$I$2:$I$1001,,0)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INDEX(products!$A$1:$G$49,MATCH(orders!$D650,products!$A$1:$A$49,0),MATCH(I$1,products!$A$1:$G$1,0))</f>
        <v>Rob</v>
      </c>
      <c r="J650" t="str">
        <f>INDEX(products!$A$1:$G$49,MATCH(orders!$D650,products!$A$1:$A$49,0),MATCH(J$1,products!$A$1:$G$1,0))</f>
        <v>D</v>
      </c>
      <c r="K650" s="6">
        <f>INDEX(products!$A$1:$G$49,MATCH(orders!$D650,products!$A$1:$A$49,0),MATCH(K$1,products!$A$1:$G$1,0))</f>
        <v>0.2</v>
      </c>
      <c r="L650" s="7">
        <f>INDEX(products!$A$1:$G$49,MATCH(orders!$D650,products!$A$1:$A$49,0),MATCH(L$1,products!$A$1:$G$1,0))</f>
        <v>2.6849999999999996</v>
      </c>
      <c r="M650" s="7">
        <f t="shared" si="30"/>
        <v>16.11</v>
      </c>
      <c r="N650" t="str">
        <f t="shared" si="31"/>
        <v>Robusta</v>
      </c>
      <c r="O650" t="str">
        <f t="shared" si="32"/>
        <v>Dark</v>
      </c>
      <c r="P650" t="str">
        <f>_xlfn.XLOOKUP(Table1[[#This Row],[Customer ID]],customers!$A$2:$A$1001,customers!$I$2:$I$1001,,0)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INDEX(products!$A$1:$G$49,MATCH(orders!$D651,products!$A$1:$A$49,0),MATCH(I$1,products!$A$1:$G$1,0))</f>
        <v>Lib</v>
      </c>
      <c r="J651" t="str">
        <f>INDEX(products!$A$1:$G$49,MATCH(orders!$D651,products!$A$1:$A$49,0),MATCH(J$1,products!$A$1:$G$1,0))</f>
        <v>L</v>
      </c>
      <c r="K651" s="6">
        <f>INDEX(products!$A$1:$G$49,MATCH(orders!$D651,products!$A$1:$A$49,0),MATCH(K$1,products!$A$1:$G$1,0))</f>
        <v>1</v>
      </c>
      <c r="L651" s="7">
        <f>INDEX(products!$A$1:$G$49,MATCH(orders!$D651,products!$A$1:$A$49,0),MATCH(L$1,products!$A$1:$G$1,0))</f>
        <v>15.85</v>
      </c>
      <c r="M651" s="7">
        <f t="shared" si="30"/>
        <v>95.1</v>
      </c>
      <c r="N651" t="str">
        <f t="shared" si="31"/>
        <v>Liberica</v>
      </c>
      <c r="O651" t="str">
        <f t="shared" si="32"/>
        <v>Light</v>
      </c>
      <c r="P651" t="str">
        <f>_xlfn.XLOOKUP(Table1[[#This Row],[Customer ID]],customers!$A$2:$A$1001,customers!$I$2:$I$1001,,0)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INDEX(products!$A$1:$G$49,MATCH(orders!$D652,products!$A$1:$A$49,0),MATCH(I$1,products!$A$1:$G$1,0))</f>
        <v>Rob</v>
      </c>
      <c r="J652" t="str">
        <f>INDEX(products!$A$1:$G$49,MATCH(orders!$D652,products!$A$1:$A$49,0),MATCH(J$1,products!$A$1:$G$1,0))</f>
        <v>D</v>
      </c>
      <c r="K652" s="6">
        <f>INDEX(products!$A$1:$G$49,MATCH(orders!$D652,products!$A$1:$A$49,0),MATCH(K$1,products!$A$1:$G$1,0))</f>
        <v>0.5</v>
      </c>
      <c r="L652" s="7">
        <f>INDEX(products!$A$1:$G$49,MATCH(orders!$D652,products!$A$1:$A$49,0),MATCH(L$1,products!$A$1:$G$1,0))</f>
        <v>5.3699999999999992</v>
      </c>
      <c r="M652" s="7">
        <f t="shared" si="30"/>
        <v>5.3699999999999992</v>
      </c>
      <c r="N652" t="str">
        <f t="shared" si="31"/>
        <v>Robusta</v>
      </c>
      <c r="O652" t="str">
        <f t="shared" si="32"/>
        <v>Dark</v>
      </c>
      <c r="P652" t="str">
        <f>_xlfn.XLOOKUP(Table1[[#This Row],[Customer ID]],customers!$A$2:$A$1001,customers!$I$2:$I$1001,,0)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INDEX(products!$A$1:$G$49,MATCH(orders!$D653,products!$A$1:$A$49,0),MATCH(I$1,products!$A$1:$G$1,0))</f>
        <v>Rob</v>
      </c>
      <c r="J653" t="str">
        <f>INDEX(products!$A$1:$G$49,MATCH(orders!$D653,products!$A$1:$A$49,0),MATCH(J$1,products!$A$1:$G$1,0))</f>
        <v>L</v>
      </c>
      <c r="K653" s="6">
        <f>INDEX(products!$A$1:$G$49,MATCH(orders!$D653,products!$A$1:$A$49,0),MATCH(K$1,products!$A$1:$G$1,0))</f>
        <v>1</v>
      </c>
      <c r="L653" s="7">
        <f>INDEX(products!$A$1:$G$49,MATCH(orders!$D653,products!$A$1:$A$49,0),MATCH(L$1,products!$A$1:$G$1,0))</f>
        <v>11.95</v>
      </c>
      <c r="M653" s="7">
        <f t="shared" si="30"/>
        <v>47.8</v>
      </c>
      <c r="N653" t="str">
        <f t="shared" si="31"/>
        <v>Robusta</v>
      </c>
      <c r="O653" t="str">
        <f t="shared" si="32"/>
        <v>Light</v>
      </c>
      <c r="P653" t="str">
        <f>_xlfn.XLOOKUP(Table1[[#This Row],[Customer ID]],customers!$A$2:$A$1001,customers!$I$2:$I$1001,,0)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INDEX(products!$A$1:$G$49,MATCH(orders!$D654,products!$A$1:$A$49,0),MATCH(I$1,products!$A$1:$G$1,0))</f>
        <v>Lib</v>
      </c>
      <c r="J654" t="str">
        <f>INDEX(products!$A$1:$G$49,MATCH(orders!$D654,products!$A$1:$A$49,0),MATCH(J$1,products!$A$1:$G$1,0))</f>
        <v>L</v>
      </c>
      <c r="K654" s="6">
        <f>INDEX(products!$A$1:$G$49,MATCH(orders!$D654,products!$A$1:$A$49,0),MATCH(K$1,products!$A$1:$G$1,0))</f>
        <v>1</v>
      </c>
      <c r="L654" s="7">
        <f>INDEX(products!$A$1:$G$49,MATCH(orders!$D654,products!$A$1:$A$49,0),MATCH(L$1,products!$A$1:$G$1,0))</f>
        <v>15.85</v>
      </c>
      <c r="M654" s="7">
        <f t="shared" si="30"/>
        <v>63.4</v>
      </c>
      <c r="N654" t="str">
        <f t="shared" si="31"/>
        <v>Liberica</v>
      </c>
      <c r="O654" t="str">
        <f t="shared" si="32"/>
        <v>Light</v>
      </c>
      <c r="P654" t="str">
        <f>_xlfn.XLOOKUP(Table1[[#This Row],[Customer ID]],customers!$A$2:$A$1001,customers!$I$2:$I$1001,,0)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INDEX(products!$A$1:$G$49,MATCH(orders!$D655,products!$A$1:$A$49,0),MATCH(I$1,products!$A$1:$G$1,0))</f>
        <v>Ara</v>
      </c>
      <c r="J655" t="str">
        <f>INDEX(products!$A$1:$G$49,MATCH(orders!$D655,products!$A$1:$A$49,0),MATCH(J$1,products!$A$1:$G$1,0))</f>
        <v>M</v>
      </c>
      <c r="K655" s="6">
        <f>INDEX(products!$A$1:$G$49,MATCH(orders!$D655,products!$A$1:$A$49,0),MATCH(K$1,products!$A$1:$G$1,0))</f>
        <v>2.5</v>
      </c>
      <c r="L655" s="7">
        <f>INDEX(products!$A$1:$G$49,MATCH(orders!$D655,products!$A$1:$A$49,0),MATCH(L$1,products!$A$1:$G$1,0))</f>
        <v>25.874999999999996</v>
      </c>
      <c r="M655" s="7">
        <f t="shared" si="30"/>
        <v>103.49999999999999</v>
      </c>
      <c r="N655" t="str">
        <f t="shared" si="31"/>
        <v>Arabica</v>
      </c>
      <c r="O655" t="str">
        <f t="shared" si="32"/>
        <v>Medium</v>
      </c>
      <c r="P655" t="str">
        <f>_xlfn.XLOOKUP(Table1[[#This Row],[Customer ID]],customers!$A$2:$A$1001,customers!$I$2:$I$1001,,0)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INDEX(products!$A$1:$G$49,MATCH(orders!$D656,products!$A$1:$A$49,0),MATCH(I$1,products!$A$1:$G$1,0))</f>
        <v>Ara</v>
      </c>
      <c r="J656" t="str">
        <f>INDEX(products!$A$1:$G$49,MATCH(orders!$D656,products!$A$1:$A$49,0),MATCH(J$1,products!$A$1:$G$1,0))</f>
        <v>D</v>
      </c>
      <c r="K656" s="6">
        <f>INDEX(products!$A$1:$G$49,MATCH(orders!$D656,products!$A$1:$A$49,0),MATCH(K$1,products!$A$1:$G$1,0))</f>
        <v>2.5</v>
      </c>
      <c r="L656" s="7">
        <f>INDEX(products!$A$1:$G$49,MATCH(orders!$D656,products!$A$1:$A$49,0),MATCH(L$1,products!$A$1:$G$1,0))</f>
        <v>22.884999999999998</v>
      </c>
      <c r="M656" s="7">
        <f t="shared" si="30"/>
        <v>68.655000000000001</v>
      </c>
      <c r="N656" t="str">
        <f t="shared" si="31"/>
        <v>Arabica</v>
      </c>
      <c r="O656" t="str">
        <f t="shared" si="32"/>
        <v>Dark</v>
      </c>
      <c r="P656" t="str">
        <f>_xlfn.XLOOKUP(Table1[[#This Row],[Customer ID]],customers!$A$2:$A$1001,customers!$I$2:$I$1001,,0)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INDEX(products!$A$1:$G$49,MATCH(orders!$D657,products!$A$1:$A$49,0),MATCH(I$1,products!$A$1:$G$1,0))</f>
        <v>Rob</v>
      </c>
      <c r="J657" t="str">
        <f>INDEX(products!$A$1:$G$49,MATCH(orders!$D657,products!$A$1:$A$49,0),MATCH(J$1,products!$A$1:$G$1,0))</f>
        <v>M</v>
      </c>
      <c r="K657" s="6">
        <f>INDEX(products!$A$1:$G$49,MATCH(orders!$D657,products!$A$1:$A$49,0),MATCH(K$1,products!$A$1:$G$1,0))</f>
        <v>2.5</v>
      </c>
      <c r="L657" s="7">
        <f>INDEX(products!$A$1:$G$49,MATCH(orders!$D657,products!$A$1:$A$49,0),MATCH(L$1,products!$A$1:$G$1,0))</f>
        <v>22.884999999999998</v>
      </c>
      <c r="M657" s="7">
        <f t="shared" si="30"/>
        <v>45.769999999999996</v>
      </c>
      <c r="N657" t="str">
        <f t="shared" si="31"/>
        <v>Robusta</v>
      </c>
      <c r="O657" t="str">
        <f t="shared" si="32"/>
        <v>Medium</v>
      </c>
      <c r="P657" t="str">
        <f>_xlfn.XLOOKUP(Table1[[#This Row],[Customer ID]],customers!$A$2:$A$1001,customers!$I$2:$I$1001,,0)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INDEX(products!$A$1:$G$49,MATCH(orders!$D658,products!$A$1:$A$49,0),MATCH(I$1,products!$A$1:$G$1,0))</f>
        <v>Lib</v>
      </c>
      <c r="J658" t="str">
        <f>INDEX(products!$A$1:$G$49,MATCH(orders!$D658,products!$A$1:$A$49,0),MATCH(J$1,products!$A$1:$G$1,0))</f>
        <v>D</v>
      </c>
      <c r="K658" s="6">
        <f>INDEX(products!$A$1:$G$49,MATCH(orders!$D658,products!$A$1:$A$49,0),MATCH(K$1,products!$A$1:$G$1,0))</f>
        <v>1</v>
      </c>
      <c r="L658" s="7">
        <f>INDEX(products!$A$1:$G$49,MATCH(orders!$D658,products!$A$1:$A$49,0),MATCH(L$1,products!$A$1:$G$1,0))</f>
        <v>12.95</v>
      </c>
      <c r="M658" s="7">
        <f t="shared" si="30"/>
        <v>51.8</v>
      </c>
      <c r="N658" t="str">
        <f t="shared" si="31"/>
        <v>Liberica</v>
      </c>
      <c r="O658" t="str">
        <f t="shared" si="32"/>
        <v>Dark</v>
      </c>
      <c r="P658" t="str">
        <f>_xlfn.XLOOKUP(Table1[[#This Row],[Customer ID]],customers!$A$2:$A$1001,customers!$I$2:$I$1001,,0)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INDEX(products!$A$1:$G$49,MATCH(orders!$D659,products!$A$1:$A$49,0),MATCH(I$1,products!$A$1:$G$1,0))</f>
        <v>Ara</v>
      </c>
      <c r="J659" t="str">
        <f>INDEX(products!$A$1:$G$49,MATCH(orders!$D659,products!$A$1:$A$49,0),MATCH(J$1,products!$A$1:$G$1,0))</f>
        <v>M</v>
      </c>
      <c r="K659" s="6">
        <f>INDEX(products!$A$1:$G$49,MATCH(orders!$D659,products!$A$1:$A$49,0),MATCH(K$1,products!$A$1:$G$1,0))</f>
        <v>0.5</v>
      </c>
      <c r="L659" s="7">
        <f>INDEX(products!$A$1:$G$49,MATCH(orders!$D659,products!$A$1:$A$49,0),MATCH(L$1,products!$A$1:$G$1,0))</f>
        <v>6.75</v>
      </c>
      <c r="M659" s="7">
        <f t="shared" si="30"/>
        <v>13.5</v>
      </c>
      <c r="N659" t="str">
        <f t="shared" si="31"/>
        <v>Arabica</v>
      </c>
      <c r="O659" t="str">
        <f t="shared" si="32"/>
        <v>Medium</v>
      </c>
      <c r="P659" t="str">
        <f>_xlfn.XLOOKUP(Table1[[#This Row],[Customer ID]],customers!$A$2:$A$1001,customers!$I$2:$I$1001,,0)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INDEX(products!$A$1:$G$49,MATCH(orders!$D660,products!$A$1:$A$49,0),MATCH(I$1,products!$A$1:$G$1,0))</f>
        <v>Exc</v>
      </c>
      <c r="J660" t="str">
        <f>INDEX(products!$A$1:$G$49,MATCH(orders!$D660,products!$A$1:$A$49,0),MATCH(J$1,products!$A$1:$G$1,0))</f>
        <v>M</v>
      </c>
      <c r="K660" s="6">
        <f>INDEX(products!$A$1:$G$49,MATCH(orders!$D660,products!$A$1:$A$49,0),MATCH(K$1,products!$A$1:$G$1,0))</f>
        <v>0.5</v>
      </c>
      <c r="L660" s="7">
        <f>INDEX(products!$A$1:$G$49,MATCH(orders!$D660,products!$A$1:$A$49,0),MATCH(L$1,products!$A$1:$G$1,0))</f>
        <v>8.25</v>
      </c>
      <c r="M660" s="7">
        <f t="shared" si="30"/>
        <v>24.75</v>
      </c>
      <c r="N660" t="str">
        <f t="shared" si="31"/>
        <v>Excelsa</v>
      </c>
      <c r="O660" t="str">
        <f t="shared" si="32"/>
        <v>Medium</v>
      </c>
      <c r="P660" t="str">
        <f>_xlfn.XLOOKUP(Table1[[#This Row],[Customer ID]],customers!$A$2:$A$1001,customers!$I$2:$I$1001,,0)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INDEX(products!$A$1:$G$49,MATCH(orders!$D661,products!$A$1:$A$49,0),MATCH(I$1,products!$A$1:$G$1,0))</f>
        <v>Ara</v>
      </c>
      <c r="J661" t="str">
        <f>INDEX(products!$A$1:$G$49,MATCH(orders!$D661,products!$A$1:$A$49,0),MATCH(J$1,products!$A$1:$G$1,0))</f>
        <v>D</v>
      </c>
      <c r="K661" s="6">
        <f>INDEX(products!$A$1:$G$49,MATCH(orders!$D661,products!$A$1:$A$49,0),MATCH(K$1,products!$A$1:$G$1,0))</f>
        <v>2.5</v>
      </c>
      <c r="L661" s="7">
        <f>INDEX(products!$A$1:$G$49,MATCH(orders!$D661,products!$A$1:$A$49,0),MATCH(L$1,products!$A$1:$G$1,0))</f>
        <v>22.884999999999998</v>
      </c>
      <c r="M661" s="7">
        <f t="shared" si="30"/>
        <v>45.769999999999996</v>
      </c>
      <c r="N661" t="str">
        <f t="shared" si="31"/>
        <v>Arabica</v>
      </c>
      <c r="O661" t="str">
        <f t="shared" si="32"/>
        <v>Dark</v>
      </c>
      <c r="P661" t="str">
        <f>_xlfn.XLOOKUP(Table1[[#This Row],[Customer ID]],customers!$A$2:$A$1001,customers!$I$2:$I$1001,,0)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INDEX(products!$A$1:$G$49,MATCH(orders!$D662,products!$A$1:$A$49,0),MATCH(I$1,products!$A$1:$G$1,0))</f>
        <v>Exc</v>
      </c>
      <c r="J662" t="str">
        <f>INDEX(products!$A$1:$G$49,MATCH(orders!$D662,products!$A$1:$A$49,0),MATCH(J$1,products!$A$1:$G$1,0))</f>
        <v>L</v>
      </c>
      <c r="K662" s="6">
        <f>INDEX(products!$A$1:$G$49,MATCH(orders!$D662,products!$A$1:$A$49,0),MATCH(K$1,products!$A$1:$G$1,0))</f>
        <v>0.5</v>
      </c>
      <c r="L662" s="7">
        <f>INDEX(products!$A$1:$G$49,MATCH(orders!$D662,products!$A$1:$A$49,0),MATCH(L$1,products!$A$1:$G$1,0))</f>
        <v>8.91</v>
      </c>
      <c r="M662" s="7">
        <f t="shared" si="30"/>
        <v>53.46</v>
      </c>
      <c r="N662" t="str">
        <f t="shared" si="31"/>
        <v>Excelsa</v>
      </c>
      <c r="O662" t="str">
        <f t="shared" si="32"/>
        <v>Light</v>
      </c>
      <c r="P662" t="str">
        <f>_xlfn.XLOOKUP(Table1[[#This Row],[Customer ID]],customers!$A$2:$A$1001,customers!$I$2:$I$1001,,0)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INDEX(products!$A$1:$G$49,MATCH(orders!$D663,products!$A$1:$A$49,0),MATCH(I$1,products!$A$1:$G$1,0))</f>
        <v>Ara</v>
      </c>
      <c r="J663" t="str">
        <f>INDEX(products!$A$1:$G$49,MATCH(orders!$D663,products!$A$1:$A$49,0),MATCH(J$1,products!$A$1:$G$1,0))</f>
        <v>M</v>
      </c>
      <c r="K663" s="6">
        <f>INDEX(products!$A$1:$G$49,MATCH(orders!$D663,products!$A$1:$A$49,0),MATCH(K$1,products!$A$1:$G$1,0))</f>
        <v>0.2</v>
      </c>
      <c r="L663" s="7">
        <f>INDEX(products!$A$1:$G$49,MATCH(orders!$D663,products!$A$1:$A$49,0),MATCH(L$1,products!$A$1:$G$1,0))</f>
        <v>3.375</v>
      </c>
      <c r="M663" s="7">
        <f t="shared" si="30"/>
        <v>20.25</v>
      </c>
      <c r="N663" t="str">
        <f t="shared" si="31"/>
        <v>Arabica</v>
      </c>
      <c r="O663" t="str">
        <f t="shared" si="32"/>
        <v>Medium</v>
      </c>
      <c r="P663" t="str">
        <f>_xlfn.XLOOKUP(Table1[[#This Row],[Customer ID]],customers!$A$2:$A$1001,customers!$I$2:$I$1001,,0)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INDEX(products!$A$1:$G$49,MATCH(orders!$D664,products!$A$1:$A$49,0),MATCH(I$1,products!$A$1:$G$1,0))</f>
        <v>Lib</v>
      </c>
      <c r="J664" t="str">
        <f>INDEX(products!$A$1:$G$49,MATCH(orders!$D664,products!$A$1:$A$49,0),MATCH(J$1,products!$A$1:$G$1,0))</f>
        <v>D</v>
      </c>
      <c r="K664" s="6">
        <f>INDEX(products!$A$1:$G$49,MATCH(orders!$D664,products!$A$1:$A$49,0),MATCH(K$1,products!$A$1:$G$1,0))</f>
        <v>2.5</v>
      </c>
      <c r="L664" s="7">
        <f>INDEX(products!$A$1:$G$49,MATCH(orders!$D664,products!$A$1:$A$49,0),MATCH(L$1,products!$A$1:$G$1,0))</f>
        <v>29.784999999999997</v>
      </c>
      <c r="M664" s="7">
        <f t="shared" si="30"/>
        <v>148.92499999999998</v>
      </c>
      <c r="N664" t="str">
        <f t="shared" si="31"/>
        <v>Liberica</v>
      </c>
      <c r="O664" t="str">
        <f t="shared" si="32"/>
        <v>Dark</v>
      </c>
      <c r="P664" t="str">
        <f>_xlfn.XLOOKUP(Table1[[#This Row],[Customer ID]],customers!$A$2:$A$1001,customers!$I$2:$I$1001,,0)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INDEX(products!$A$1:$G$49,MATCH(orders!$D665,products!$A$1:$A$49,0),MATCH(I$1,products!$A$1:$G$1,0))</f>
        <v>Ara</v>
      </c>
      <c r="J665" t="str">
        <f>INDEX(products!$A$1:$G$49,MATCH(orders!$D665,products!$A$1:$A$49,0),MATCH(J$1,products!$A$1:$G$1,0))</f>
        <v>M</v>
      </c>
      <c r="K665" s="6">
        <f>INDEX(products!$A$1:$G$49,MATCH(orders!$D665,products!$A$1:$A$49,0),MATCH(K$1,products!$A$1:$G$1,0))</f>
        <v>1</v>
      </c>
      <c r="L665" s="7">
        <f>INDEX(products!$A$1:$G$49,MATCH(orders!$D665,products!$A$1:$A$49,0),MATCH(L$1,products!$A$1:$G$1,0))</f>
        <v>11.25</v>
      </c>
      <c r="M665" s="7">
        <f t="shared" si="30"/>
        <v>67.5</v>
      </c>
      <c r="N665" t="str">
        <f t="shared" si="31"/>
        <v>Arabica</v>
      </c>
      <c r="O665" t="str">
        <f t="shared" si="32"/>
        <v>Medium</v>
      </c>
      <c r="P665" t="str">
        <f>_xlfn.XLOOKUP(Table1[[#This Row],[Customer ID]],customers!$A$2:$A$1001,customers!$I$2:$I$1001,,0)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INDEX(products!$A$1:$G$49,MATCH(orders!$D666,products!$A$1:$A$49,0),MATCH(I$1,products!$A$1:$G$1,0))</f>
        <v>Exc</v>
      </c>
      <c r="J666" t="str">
        <f>INDEX(products!$A$1:$G$49,MATCH(orders!$D666,products!$A$1:$A$49,0),MATCH(J$1,products!$A$1:$G$1,0))</f>
        <v>D</v>
      </c>
      <c r="K666" s="6">
        <f>INDEX(products!$A$1:$G$49,MATCH(orders!$D666,products!$A$1:$A$49,0),MATCH(K$1,products!$A$1:$G$1,0))</f>
        <v>1</v>
      </c>
      <c r="L666" s="7">
        <f>INDEX(products!$A$1:$G$49,MATCH(orders!$D666,products!$A$1:$A$49,0),MATCH(L$1,products!$A$1:$G$1,0))</f>
        <v>12.15</v>
      </c>
      <c r="M666" s="7">
        <f t="shared" si="30"/>
        <v>72.900000000000006</v>
      </c>
      <c r="N666" t="str">
        <f t="shared" si="31"/>
        <v>Excelsa</v>
      </c>
      <c r="O666" t="str">
        <f t="shared" si="32"/>
        <v>Dark</v>
      </c>
      <c r="P666" t="str">
        <f>_xlfn.XLOOKUP(Table1[[#This Row],[Customer ID]],customers!$A$2:$A$1001,customers!$I$2:$I$1001,,0)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INDEX(products!$A$1:$G$49,MATCH(orders!$D667,products!$A$1:$A$49,0),MATCH(I$1,products!$A$1:$G$1,0))</f>
        <v>Lib</v>
      </c>
      <c r="J667" t="str">
        <f>INDEX(products!$A$1:$G$49,MATCH(orders!$D667,products!$A$1:$A$49,0),MATCH(J$1,products!$A$1:$G$1,0))</f>
        <v>D</v>
      </c>
      <c r="K667" s="6">
        <f>INDEX(products!$A$1:$G$49,MATCH(orders!$D667,products!$A$1:$A$49,0),MATCH(K$1,products!$A$1:$G$1,0))</f>
        <v>0.2</v>
      </c>
      <c r="L667" s="7">
        <f>INDEX(products!$A$1:$G$49,MATCH(orders!$D667,products!$A$1:$A$49,0),MATCH(L$1,products!$A$1:$G$1,0))</f>
        <v>3.8849999999999998</v>
      </c>
      <c r="M667" s="7">
        <f t="shared" si="30"/>
        <v>7.77</v>
      </c>
      <c r="N667" t="str">
        <f t="shared" si="31"/>
        <v>Liberica</v>
      </c>
      <c r="O667" t="str">
        <f t="shared" si="32"/>
        <v>Dark</v>
      </c>
      <c r="P667" t="str">
        <f>_xlfn.XLOOKUP(Table1[[#This Row],[Customer ID]],customers!$A$2:$A$1001,customers!$I$2:$I$1001,,0)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INDEX(products!$A$1:$G$49,MATCH(orders!$D668,products!$A$1:$A$49,0),MATCH(I$1,products!$A$1:$G$1,0))</f>
        <v>Ara</v>
      </c>
      <c r="J668" t="str">
        <f>INDEX(products!$A$1:$G$49,MATCH(orders!$D668,products!$A$1:$A$49,0),MATCH(J$1,products!$A$1:$G$1,0))</f>
        <v>D</v>
      </c>
      <c r="K668" s="6">
        <f>INDEX(products!$A$1:$G$49,MATCH(orders!$D668,products!$A$1:$A$49,0),MATCH(K$1,products!$A$1:$G$1,0))</f>
        <v>2.5</v>
      </c>
      <c r="L668" s="7">
        <f>INDEX(products!$A$1:$G$49,MATCH(orders!$D668,products!$A$1:$A$49,0),MATCH(L$1,products!$A$1:$G$1,0))</f>
        <v>22.884999999999998</v>
      </c>
      <c r="M668" s="7">
        <f t="shared" si="30"/>
        <v>91.539999999999992</v>
      </c>
      <c r="N668" t="str">
        <f t="shared" si="31"/>
        <v>Arabica</v>
      </c>
      <c r="O668" t="str">
        <f t="shared" si="32"/>
        <v>Dark</v>
      </c>
      <c r="P668" t="str">
        <f>_xlfn.XLOOKUP(Table1[[#This Row],[Customer ID]],customers!$A$2:$A$1001,customers!$I$2:$I$1001,,0)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INDEX(products!$A$1:$G$49,MATCH(orders!$D669,products!$A$1:$A$49,0),MATCH(I$1,products!$A$1:$G$1,0))</f>
        <v>Ara</v>
      </c>
      <c r="J669" t="str">
        <f>INDEX(products!$A$1:$G$49,MATCH(orders!$D669,products!$A$1:$A$49,0),MATCH(J$1,products!$A$1:$G$1,0))</f>
        <v>D</v>
      </c>
      <c r="K669" s="6">
        <f>INDEX(products!$A$1:$G$49,MATCH(orders!$D669,products!$A$1:$A$49,0),MATCH(K$1,products!$A$1:$G$1,0))</f>
        <v>1</v>
      </c>
      <c r="L669" s="7">
        <f>INDEX(products!$A$1:$G$49,MATCH(orders!$D669,products!$A$1:$A$49,0),MATCH(L$1,products!$A$1:$G$1,0))</f>
        <v>9.9499999999999993</v>
      </c>
      <c r="M669" s="7">
        <f t="shared" si="30"/>
        <v>59.699999999999996</v>
      </c>
      <c r="N669" t="str">
        <f t="shared" si="31"/>
        <v>Arabica</v>
      </c>
      <c r="O669" t="str">
        <f t="shared" si="32"/>
        <v>Dark</v>
      </c>
      <c r="P669" t="str">
        <f>_xlfn.XLOOKUP(Table1[[#This Row],[Customer ID]],customers!$A$2:$A$1001,customers!$I$2:$I$1001,,0)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INDEX(products!$A$1:$G$49,MATCH(orders!$D670,products!$A$1:$A$49,0),MATCH(I$1,products!$A$1:$G$1,0))</f>
        <v>Rob</v>
      </c>
      <c r="J670" t="str">
        <f>INDEX(products!$A$1:$G$49,MATCH(orders!$D670,products!$A$1:$A$49,0),MATCH(J$1,products!$A$1:$G$1,0))</f>
        <v>L</v>
      </c>
      <c r="K670" s="6">
        <f>INDEX(products!$A$1:$G$49,MATCH(orders!$D670,products!$A$1:$A$49,0),MATCH(K$1,products!$A$1:$G$1,0))</f>
        <v>2.5</v>
      </c>
      <c r="L670" s="7">
        <f>INDEX(products!$A$1:$G$49,MATCH(orders!$D670,products!$A$1:$A$49,0),MATCH(L$1,products!$A$1:$G$1,0))</f>
        <v>27.484999999999996</v>
      </c>
      <c r="M670" s="7">
        <f t="shared" si="30"/>
        <v>137.42499999999998</v>
      </c>
      <c r="N670" t="str">
        <f t="shared" si="31"/>
        <v>Robusta</v>
      </c>
      <c r="O670" t="str">
        <f t="shared" si="32"/>
        <v>Light</v>
      </c>
      <c r="P670" t="str">
        <f>_xlfn.XLOOKUP(Table1[[#This Row],[Customer ID]],customers!$A$2:$A$1001,customers!$I$2:$I$1001,,0)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INDEX(products!$A$1:$G$49,MATCH(orders!$D671,products!$A$1:$A$49,0),MATCH(I$1,products!$A$1:$G$1,0))</f>
        <v>Lib</v>
      </c>
      <c r="J671" t="str">
        <f>INDEX(products!$A$1:$G$49,MATCH(orders!$D671,products!$A$1:$A$49,0),MATCH(J$1,products!$A$1:$G$1,0))</f>
        <v>M</v>
      </c>
      <c r="K671" s="6">
        <f>INDEX(products!$A$1:$G$49,MATCH(orders!$D671,products!$A$1:$A$49,0),MATCH(K$1,products!$A$1:$G$1,0))</f>
        <v>2.5</v>
      </c>
      <c r="L671" s="7">
        <f>INDEX(products!$A$1:$G$49,MATCH(orders!$D671,products!$A$1:$A$49,0),MATCH(L$1,products!$A$1:$G$1,0))</f>
        <v>33.464999999999996</v>
      </c>
      <c r="M671" s="7">
        <f t="shared" si="30"/>
        <v>66.929999999999993</v>
      </c>
      <c r="N671" t="str">
        <f t="shared" si="31"/>
        <v>Liberica</v>
      </c>
      <c r="O671" t="str">
        <f t="shared" si="32"/>
        <v>Medium</v>
      </c>
      <c r="P671" t="str">
        <f>_xlfn.XLOOKUP(Table1[[#This Row],[Customer ID]],customers!$A$2:$A$1001,customers!$I$2:$I$1001,,0)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INDEX(products!$A$1:$G$49,MATCH(orders!$D672,products!$A$1:$A$49,0),MATCH(I$1,products!$A$1:$G$1,0))</f>
        <v>Lib</v>
      </c>
      <c r="J672" t="str">
        <f>INDEX(products!$A$1:$G$49,MATCH(orders!$D672,products!$A$1:$A$49,0),MATCH(J$1,products!$A$1:$G$1,0))</f>
        <v>M</v>
      </c>
      <c r="K672" s="6">
        <f>INDEX(products!$A$1:$G$49,MATCH(orders!$D672,products!$A$1:$A$49,0),MATCH(K$1,products!$A$1:$G$1,0))</f>
        <v>0.2</v>
      </c>
      <c r="L672" s="7">
        <f>INDEX(products!$A$1:$G$49,MATCH(orders!$D672,products!$A$1:$A$49,0),MATCH(L$1,products!$A$1:$G$1,0))</f>
        <v>4.3650000000000002</v>
      </c>
      <c r="M672" s="7">
        <f t="shared" si="30"/>
        <v>13.095000000000001</v>
      </c>
      <c r="N672" t="str">
        <f t="shared" si="31"/>
        <v>Liberica</v>
      </c>
      <c r="O672" t="str">
        <f t="shared" si="32"/>
        <v>Medium</v>
      </c>
      <c r="P672" t="str">
        <f>_xlfn.XLOOKUP(Table1[[#This Row],[Customer ID]],customers!$A$2:$A$1001,customers!$I$2:$I$1001,,0)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INDEX(products!$A$1:$G$49,MATCH(orders!$D673,products!$A$1:$A$49,0),MATCH(I$1,products!$A$1:$G$1,0))</f>
        <v>Rob</v>
      </c>
      <c r="J673" t="str">
        <f>INDEX(products!$A$1:$G$49,MATCH(orders!$D673,products!$A$1:$A$49,0),MATCH(J$1,products!$A$1:$G$1,0))</f>
        <v>L</v>
      </c>
      <c r="K673" s="6">
        <f>INDEX(products!$A$1:$G$49,MATCH(orders!$D673,products!$A$1:$A$49,0),MATCH(K$1,products!$A$1:$G$1,0))</f>
        <v>1</v>
      </c>
      <c r="L673" s="7">
        <f>INDEX(products!$A$1:$G$49,MATCH(orders!$D673,products!$A$1:$A$49,0),MATCH(L$1,products!$A$1:$G$1,0))</f>
        <v>11.95</v>
      </c>
      <c r="M673" s="7">
        <f t="shared" si="30"/>
        <v>59.75</v>
      </c>
      <c r="N673" t="str">
        <f t="shared" si="31"/>
        <v>Robusta</v>
      </c>
      <c r="O673" t="str">
        <f t="shared" si="32"/>
        <v>Light</v>
      </c>
      <c r="P673" t="str">
        <f>_xlfn.XLOOKUP(Table1[[#This Row],[Customer ID]],customers!$A$2:$A$1001,customers!$I$2:$I$1001,,0)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INDEX(products!$A$1:$G$49,MATCH(orders!$D674,products!$A$1:$A$49,0),MATCH(I$1,products!$A$1:$G$1,0))</f>
        <v>Lib</v>
      </c>
      <c r="J674" t="str">
        <f>INDEX(products!$A$1:$G$49,MATCH(orders!$D674,products!$A$1:$A$49,0),MATCH(J$1,products!$A$1:$G$1,0))</f>
        <v>M</v>
      </c>
      <c r="K674" s="6">
        <f>INDEX(products!$A$1:$G$49,MATCH(orders!$D674,products!$A$1:$A$49,0),MATCH(K$1,products!$A$1:$G$1,0))</f>
        <v>0.5</v>
      </c>
      <c r="L674" s="7">
        <f>INDEX(products!$A$1:$G$49,MATCH(orders!$D674,products!$A$1:$A$49,0),MATCH(L$1,products!$A$1:$G$1,0))</f>
        <v>8.73</v>
      </c>
      <c r="M674" s="7">
        <f t="shared" si="30"/>
        <v>43.650000000000006</v>
      </c>
      <c r="N674" t="str">
        <f t="shared" si="31"/>
        <v>Liberica</v>
      </c>
      <c r="O674" t="str">
        <f t="shared" si="32"/>
        <v>Medium</v>
      </c>
      <c r="P674" t="str">
        <f>_xlfn.XLOOKUP(Table1[[#This Row],[Customer ID]],customers!$A$2:$A$1001,customers!$I$2:$I$1001,,0)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INDEX(products!$A$1:$G$49,MATCH(orders!$D675,products!$A$1:$A$49,0),MATCH(I$1,products!$A$1:$G$1,0))</f>
        <v>Exc</v>
      </c>
      <c r="J675" t="str">
        <f>INDEX(products!$A$1:$G$49,MATCH(orders!$D675,products!$A$1:$A$49,0),MATCH(J$1,products!$A$1:$G$1,0))</f>
        <v>M</v>
      </c>
      <c r="K675" s="6">
        <f>INDEX(products!$A$1:$G$49,MATCH(orders!$D675,products!$A$1:$A$49,0),MATCH(K$1,products!$A$1:$G$1,0))</f>
        <v>1</v>
      </c>
      <c r="L675" s="7">
        <f>INDEX(products!$A$1:$G$49,MATCH(orders!$D675,products!$A$1:$A$49,0),MATCH(L$1,products!$A$1:$G$1,0))</f>
        <v>13.75</v>
      </c>
      <c r="M675" s="7">
        <f t="shared" si="30"/>
        <v>82.5</v>
      </c>
      <c r="N675" t="str">
        <f t="shared" si="31"/>
        <v>Excelsa</v>
      </c>
      <c r="O675" t="str">
        <f t="shared" si="32"/>
        <v>Medium</v>
      </c>
      <c r="P675" t="str">
        <f>_xlfn.XLOOKUP(Table1[[#This Row],[Customer ID]],customers!$A$2:$A$1001,customers!$I$2:$I$1001,,0)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INDEX(products!$A$1:$G$49,MATCH(orders!$D676,products!$A$1:$A$49,0),MATCH(I$1,products!$A$1:$G$1,0))</f>
        <v>Ara</v>
      </c>
      <c r="J676" t="str">
        <f>INDEX(products!$A$1:$G$49,MATCH(orders!$D676,products!$A$1:$A$49,0),MATCH(J$1,products!$A$1:$G$1,0))</f>
        <v>L</v>
      </c>
      <c r="K676" s="6">
        <f>INDEX(products!$A$1:$G$49,MATCH(orders!$D676,products!$A$1:$A$49,0),MATCH(K$1,products!$A$1:$G$1,0))</f>
        <v>2.5</v>
      </c>
      <c r="L676" s="7">
        <f>INDEX(products!$A$1:$G$49,MATCH(orders!$D676,products!$A$1:$A$49,0),MATCH(L$1,products!$A$1:$G$1,0))</f>
        <v>29.784999999999997</v>
      </c>
      <c r="M676" s="7">
        <f t="shared" si="30"/>
        <v>178.70999999999998</v>
      </c>
      <c r="N676" t="str">
        <f t="shared" si="31"/>
        <v>Arabica</v>
      </c>
      <c r="O676" t="str">
        <f t="shared" si="32"/>
        <v>Light</v>
      </c>
      <c r="P676" t="str">
        <f>_xlfn.XLOOKUP(Table1[[#This Row],[Customer ID]],customers!$A$2:$A$1001,customers!$I$2:$I$1001,,0)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INDEX(products!$A$1:$G$49,MATCH(orders!$D677,products!$A$1:$A$49,0),MATCH(I$1,products!$A$1:$G$1,0))</f>
        <v>Lib</v>
      </c>
      <c r="J677" t="str">
        <f>INDEX(products!$A$1:$G$49,MATCH(orders!$D677,products!$A$1:$A$49,0),MATCH(J$1,products!$A$1:$G$1,0))</f>
        <v>D</v>
      </c>
      <c r="K677" s="6">
        <f>INDEX(products!$A$1:$G$49,MATCH(orders!$D677,products!$A$1:$A$49,0),MATCH(K$1,products!$A$1:$G$1,0))</f>
        <v>2.5</v>
      </c>
      <c r="L677" s="7">
        <f>INDEX(products!$A$1:$G$49,MATCH(orders!$D677,products!$A$1:$A$49,0),MATCH(L$1,products!$A$1:$G$1,0))</f>
        <v>29.784999999999997</v>
      </c>
      <c r="M677" s="7">
        <f t="shared" si="30"/>
        <v>119.13999999999999</v>
      </c>
      <c r="N677" t="str">
        <f t="shared" si="31"/>
        <v>Liberica</v>
      </c>
      <c r="O677" t="str">
        <f t="shared" si="32"/>
        <v>Dark</v>
      </c>
      <c r="P677" t="str">
        <f>_xlfn.XLOOKUP(Table1[[#This Row],[Customer ID]],customers!$A$2:$A$1001,customers!$I$2:$I$1001,,0)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INDEX(products!$A$1:$G$49,MATCH(orders!$D678,products!$A$1:$A$49,0),MATCH(I$1,products!$A$1:$G$1,0))</f>
        <v>Lib</v>
      </c>
      <c r="J678" t="str">
        <f>INDEX(products!$A$1:$G$49,MATCH(orders!$D678,products!$A$1:$A$49,0),MATCH(J$1,products!$A$1:$G$1,0))</f>
        <v>L</v>
      </c>
      <c r="K678" s="6">
        <f>INDEX(products!$A$1:$G$49,MATCH(orders!$D678,products!$A$1:$A$49,0),MATCH(K$1,products!$A$1:$G$1,0))</f>
        <v>0.5</v>
      </c>
      <c r="L678" s="7">
        <f>INDEX(products!$A$1:$G$49,MATCH(orders!$D678,products!$A$1:$A$49,0),MATCH(L$1,products!$A$1:$G$1,0))</f>
        <v>9.51</v>
      </c>
      <c r="M678" s="7">
        <f t="shared" si="30"/>
        <v>47.55</v>
      </c>
      <c r="N678" t="str">
        <f t="shared" si="31"/>
        <v>Liberica</v>
      </c>
      <c r="O678" t="str">
        <f t="shared" si="32"/>
        <v>Light</v>
      </c>
      <c r="P678" t="str">
        <f>_xlfn.XLOOKUP(Table1[[#This Row],[Customer ID]],customers!$A$2:$A$1001,customers!$I$2:$I$1001,,0)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INDEX(products!$A$1:$G$49,MATCH(orders!$D679,products!$A$1:$A$49,0),MATCH(I$1,products!$A$1:$G$1,0))</f>
        <v>Lib</v>
      </c>
      <c r="J679" t="str">
        <f>INDEX(products!$A$1:$G$49,MATCH(orders!$D679,products!$A$1:$A$49,0),MATCH(J$1,products!$A$1:$G$1,0))</f>
        <v>M</v>
      </c>
      <c r="K679" s="6">
        <f>INDEX(products!$A$1:$G$49,MATCH(orders!$D679,products!$A$1:$A$49,0),MATCH(K$1,products!$A$1:$G$1,0))</f>
        <v>0.5</v>
      </c>
      <c r="L679" s="7">
        <f>INDEX(products!$A$1:$G$49,MATCH(orders!$D679,products!$A$1:$A$49,0),MATCH(L$1,products!$A$1:$G$1,0))</f>
        <v>8.73</v>
      </c>
      <c r="M679" s="7">
        <f t="shared" si="30"/>
        <v>43.650000000000006</v>
      </c>
      <c r="N679" t="str">
        <f t="shared" si="31"/>
        <v>Liberica</v>
      </c>
      <c r="O679" t="str">
        <f t="shared" si="32"/>
        <v>Medium</v>
      </c>
      <c r="P679" t="str">
        <f>_xlfn.XLOOKUP(Table1[[#This Row],[Customer ID]],customers!$A$2:$A$1001,customers!$I$2:$I$1001,,0)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INDEX(products!$A$1:$G$49,MATCH(orders!$D680,products!$A$1:$A$49,0),MATCH(I$1,products!$A$1:$G$1,0))</f>
        <v>Ara</v>
      </c>
      <c r="J680" t="str">
        <f>INDEX(products!$A$1:$G$49,MATCH(orders!$D680,products!$A$1:$A$49,0),MATCH(J$1,products!$A$1:$G$1,0))</f>
        <v>L</v>
      </c>
      <c r="K680" s="6">
        <f>INDEX(products!$A$1:$G$49,MATCH(orders!$D680,products!$A$1:$A$49,0),MATCH(K$1,products!$A$1:$G$1,0))</f>
        <v>2.5</v>
      </c>
      <c r="L680" s="7">
        <f>INDEX(products!$A$1:$G$49,MATCH(orders!$D680,products!$A$1:$A$49,0),MATCH(L$1,products!$A$1:$G$1,0))</f>
        <v>29.784999999999997</v>
      </c>
      <c r="M680" s="7">
        <f t="shared" si="30"/>
        <v>178.70999999999998</v>
      </c>
      <c r="N680" t="str">
        <f t="shared" si="31"/>
        <v>Arabica</v>
      </c>
      <c r="O680" t="str">
        <f t="shared" si="32"/>
        <v>Light</v>
      </c>
      <c r="P680" t="str">
        <f>_xlfn.XLOOKUP(Table1[[#This Row],[Customer ID]],customers!$A$2:$A$1001,customers!$I$2:$I$1001,,0)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INDEX(products!$A$1:$G$49,MATCH(orders!$D681,products!$A$1:$A$49,0),MATCH(I$1,products!$A$1:$G$1,0))</f>
        <v>Rob</v>
      </c>
      <c r="J681" t="str">
        <f>INDEX(products!$A$1:$G$49,MATCH(orders!$D681,products!$A$1:$A$49,0),MATCH(J$1,products!$A$1:$G$1,0))</f>
        <v>L</v>
      </c>
      <c r="K681" s="6">
        <f>INDEX(products!$A$1:$G$49,MATCH(orders!$D681,products!$A$1:$A$49,0),MATCH(K$1,products!$A$1:$G$1,0))</f>
        <v>2.5</v>
      </c>
      <c r="L681" s="7">
        <f>INDEX(products!$A$1:$G$49,MATCH(orders!$D681,products!$A$1:$A$49,0),MATCH(L$1,products!$A$1:$G$1,0))</f>
        <v>27.484999999999996</v>
      </c>
      <c r="M681" s="7">
        <f t="shared" si="30"/>
        <v>27.484999999999996</v>
      </c>
      <c r="N681" t="str">
        <f t="shared" si="31"/>
        <v>Robusta</v>
      </c>
      <c r="O681" t="str">
        <f t="shared" si="32"/>
        <v>Light</v>
      </c>
      <c r="P681" t="str">
        <f>_xlfn.XLOOKUP(Table1[[#This Row],[Customer ID]],customers!$A$2:$A$1001,customers!$I$2:$I$1001,,0)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INDEX(products!$A$1:$G$49,MATCH(orders!$D682,products!$A$1:$A$49,0),MATCH(I$1,products!$A$1:$G$1,0))</f>
        <v>Ara</v>
      </c>
      <c r="J682" t="str">
        <f>INDEX(products!$A$1:$G$49,MATCH(orders!$D682,products!$A$1:$A$49,0),MATCH(J$1,products!$A$1:$G$1,0))</f>
        <v>M</v>
      </c>
      <c r="K682" s="6">
        <f>INDEX(products!$A$1:$G$49,MATCH(orders!$D682,products!$A$1:$A$49,0),MATCH(K$1,products!$A$1:$G$1,0))</f>
        <v>1</v>
      </c>
      <c r="L682" s="7">
        <f>INDEX(products!$A$1:$G$49,MATCH(orders!$D682,products!$A$1:$A$49,0),MATCH(L$1,products!$A$1:$G$1,0))</f>
        <v>11.25</v>
      </c>
      <c r="M682" s="7">
        <f t="shared" si="30"/>
        <v>56.25</v>
      </c>
      <c r="N682" t="str">
        <f t="shared" si="31"/>
        <v>Arabica</v>
      </c>
      <c r="O682" t="str">
        <f t="shared" si="32"/>
        <v>Medium</v>
      </c>
      <c r="P682" t="str">
        <f>_xlfn.XLOOKUP(Table1[[#This Row],[Customer ID]],customers!$A$2:$A$1001,customers!$I$2:$I$1001,,0)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INDEX(products!$A$1:$G$49,MATCH(orders!$D683,products!$A$1:$A$49,0),MATCH(I$1,products!$A$1:$G$1,0))</f>
        <v>Lib</v>
      </c>
      <c r="J683" t="str">
        <f>INDEX(products!$A$1:$G$49,MATCH(orders!$D683,products!$A$1:$A$49,0),MATCH(J$1,products!$A$1:$G$1,0))</f>
        <v>L</v>
      </c>
      <c r="K683" s="6">
        <f>INDEX(products!$A$1:$G$49,MATCH(orders!$D683,products!$A$1:$A$49,0),MATCH(K$1,products!$A$1:$G$1,0))</f>
        <v>0.2</v>
      </c>
      <c r="L683" s="7">
        <f>INDEX(products!$A$1:$G$49,MATCH(orders!$D683,products!$A$1:$A$49,0),MATCH(L$1,products!$A$1:$G$1,0))</f>
        <v>4.7549999999999999</v>
      </c>
      <c r="M683" s="7">
        <f t="shared" si="30"/>
        <v>9.51</v>
      </c>
      <c r="N683" t="str">
        <f t="shared" si="31"/>
        <v>Liberica</v>
      </c>
      <c r="O683" t="str">
        <f t="shared" si="32"/>
        <v>Light</v>
      </c>
      <c r="P683" t="str">
        <f>_xlfn.XLOOKUP(Table1[[#This Row],[Customer ID]],customers!$A$2:$A$1001,customers!$I$2:$I$1001,,0)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INDEX(products!$A$1:$G$49,MATCH(orders!$D684,products!$A$1:$A$49,0),MATCH(I$1,products!$A$1:$G$1,0))</f>
        <v>Exc</v>
      </c>
      <c r="J684" t="str">
        <f>INDEX(products!$A$1:$G$49,MATCH(orders!$D684,products!$A$1:$A$49,0),MATCH(J$1,products!$A$1:$G$1,0))</f>
        <v>M</v>
      </c>
      <c r="K684" s="6">
        <f>INDEX(products!$A$1:$G$49,MATCH(orders!$D684,products!$A$1:$A$49,0),MATCH(K$1,products!$A$1:$G$1,0))</f>
        <v>0.2</v>
      </c>
      <c r="L684" s="7">
        <f>INDEX(products!$A$1:$G$49,MATCH(orders!$D684,products!$A$1:$A$49,0),MATCH(L$1,products!$A$1:$G$1,0))</f>
        <v>4.125</v>
      </c>
      <c r="M684" s="7">
        <f t="shared" si="30"/>
        <v>8.25</v>
      </c>
      <c r="N684" t="str">
        <f t="shared" si="31"/>
        <v>Excelsa</v>
      </c>
      <c r="O684" t="str">
        <f t="shared" si="32"/>
        <v>Medium</v>
      </c>
      <c r="P684" t="str">
        <f>_xlfn.XLOOKUP(Table1[[#This Row],[Customer ID]],customers!$A$2:$A$1001,customers!$I$2:$I$1001,,0)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INDEX(products!$A$1:$G$49,MATCH(orders!$D685,products!$A$1:$A$49,0),MATCH(I$1,products!$A$1:$G$1,0))</f>
        <v>Lib</v>
      </c>
      <c r="J685" t="str">
        <f>INDEX(products!$A$1:$G$49,MATCH(orders!$D685,products!$A$1:$A$49,0),MATCH(J$1,products!$A$1:$G$1,0))</f>
        <v>D</v>
      </c>
      <c r="K685" s="6">
        <f>INDEX(products!$A$1:$G$49,MATCH(orders!$D685,products!$A$1:$A$49,0),MATCH(K$1,products!$A$1:$G$1,0))</f>
        <v>0.5</v>
      </c>
      <c r="L685" s="7">
        <f>INDEX(products!$A$1:$G$49,MATCH(orders!$D685,products!$A$1:$A$49,0),MATCH(L$1,products!$A$1:$G$1,0))</f>
        <v>7.77</v>
      </c>
      <c r="M685" s="7">
        <f t="shared" si="30"/>
        <v>46.62</v>
      </c>
      <c r="N685" t="str">
        <f t="shared" si="31"/>
        <v>Liberica</v>
      </c>
      <c r="O685" t="str">
        <f t="shared" si="32"/>
        <v>Dark</v>
      </c>
      <c r="P685" t="str">
        <f>_xlfn.XLOOKUP(Table1[[#This Row],[Customer ID]],customers!$A$2:$A$1001,customers!$I$2:$I$1001,,0)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INDEX(products!$A$1:$G$49,MATCH(orders!$D686,products!$A$1:$A$49,0),MATCH(I$1,products!$A$1:$G$1,0))</f>
        <v>Rob</v>
      </c>
      <c r="J686" t="str">
        <f>INDEX(products!$A$1:$G$49,MATCH(orders!$D686,products!$A$1:$A$49,0),MATCH(J$1,products!$A$1:$G$1,0))</f>
        <v>L</v>
      </c>
      <c r="K686" s="6">
        <f>INDEX(products!$A$1:$G$49,MATCH(orders!$D686,products!$A$1:$A$49,0),MATCH(K$1,products!$A$1:$G$1,0))</f>
        <v>1</v>
      </c>
      <c r="L686" s="7">
        <f>INDEX(products!$A$1:$G$49,MATCH(orders!$D686,products!$A$1:$A$49,0),MATCH(L$1,products!$A$1:$G$1,0))</f>
        <v>11.95</v>
      </c>
      <c r="M686" s="7">
        <f t="shared" si="30"/>
        <v>71.699999999999989</v>
      </c>
      <c r="N686" t="str">
        <f t="shared" si="31"/>
        <v>Robusta</v>
      </c>
      <c r="O686" t="str">
        <f t="shared" si="32"/>
        <v>Light</v>
      </c>
      <c r="P686" t="str">
        <f>_xlfn.XLOOKUP(Table1[[#This Row],[Customer ID]],customers!$A$2:$A$1001,customers!$I$2:$I$1001,,0)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INDEX(products!$A$1:$G$49,MATCH(orders!$D687,products!$A$1:$A$49,0),MATCH(I$1,products!$A$1:$G$1,0))</f>
        <v>Lib</v>
      </c>
      <c r="J687" t="str">
        <f>INDEX(products!$A$1:$G$49,MATCH(orders!$D687,products!$A$1:$A$49,0),MATCH(J$1,products!$A$1:$G$1,0))</f>
        <v>L</v>
      </c>
      <c r="K687" s="6">
        <f>INDEX(products!$A$1:$G$49,MATCH(orders!$D687,products!$A$1:$A$49,0),MATCH(K$1,products!$A$1:$G$1,0))</f>
        <v>2.5</v>
      </c>
      <c r="L687" s="7">
        <f>INDEX(products!$A$1:$G$49,MATCH(orders!$D687,products!$A$1:$A$49,0),MATCH(L$1,products!$A$1:$G$1,0))</f>
        <v>36.454999999999998</v>
      </c>
      <c r="M687" s="7">
        <f t="shared" si="30"/>
        <v>72.91</v>
      </c>
      <c r="N687" t="str">
        <f t="shared" si="31"/>
        <v>Liberica</v>
      </c>
      <c r="O687" t="str">
        <f t="shared" si="32"/>
        <v>Light</v>
      </c>
      <c r="P687" t="str">
        <f>_xlfn.XLOOKUP(Table1[[#This Row],[Customer ID]],customers!$A$2:$A$1001,customers!$I$2:$I$1001,,0)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INDEX(products!$A$1:$G$49,MATCH(orders!$D688,products!$A$1:$A$49,0),MATCH(I$1,products!$A$1:$G$1,0))</f>
        <v>Rob</v>
      </c>
      <c r="J688" t="str">
        <f>INDEX(products!$A$1:$G$49,MATCH(orders!$D688,products!$A$1:$A$49,0),MATCH(J$1,products!$A$1:$G$1,0))</f>
        <v>D</v>
      </c>
      <c r="K688" s="6">
        <f>INDEX(products!$A$1:$G$49,MATCH(orders!$D688,products!$A$1:$A$49,0),MATCH(K$1,products!$A$1:$G$1,0))</f>
        <v>0.2</v>
      </c>
      <c r="L688" s="7">
        <f>INDEX(products!$A$1:$G$49,MATCH(orders!$D688,products!$A$1:$A$49,0),MATCH(L$1,products!$A$1:$G$1,0))</f>
        <v>2.6849999999999996</v>
      </c>
      <c r="M688" s="7">
        <f t="shared" si="30"/>
        <v>8.0549999999999997</v>
      </c>
      <c r="N688" t="str">
        <f t="shared" si="31"/>
        <v>Robusta</v>
      </c>
      <c r="O688" t="str">
        <f t="shared" si="32"/>
        <v>Dark</v>
      </c>
      <c r="P688" t="str">
        <f>_xlfn.XLOOKUP(Table1[[#This Row],[Customer ID]],customers!$A$2:$A$1001,customers!$I$2:$I$1001,,0)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INDEX(products!$A$1:$G$49,MATCH(orders!$D689,products!$A$1:$A$49,0),MATCH(I$1,products!$A$1:$G$1,0))</f>
        <v>Exc</v>
      </c>
      <c r="J689" t="str">
        <f>INDEX(products!$A$1:$G$49,MATCH(orders!$D689,products!$A$1:$A$49,0),MATCH(J$1,products!$A$1:$G$1,0))</f>
        <v>M</v>
      </c>
      <c r="K689" s="6">
        <f>INDEX(products!$A$1:$G$49,MATCH(orders!$D689,products!$A$1:$A$49,0),MATCH(K$1,products!$A$1:$G$1,0))</f>
        <v>0.5</v>
      </c>
      <c r="L689" s="7">
        <f>INDEX(products!$A$1:$G$49,MATCH(orders!$D689,products!$A$1:$A$49,0),MATCH(L$1,products!$A$1:$G$1,0))</f>
        <v>8.25</v>
      </c>
      <c r="M689" s="7">
        <f t="shared" si="30"/>
        <v>16.5</v>
      </c>
      <c r="N689" t="str">
        <f t="shared" si="31"/>
        <v>Excelsa</v>
      </c>
      <c r="O689" t="str">
        <f t="shared" si="32"/>
        <v>Medium</v>
      </c>
      <c r="P689" t="str">
        <f>_xlfn.XLOOKUP(Table1[[#This Row],[Customer ID]],customers!$A$2:$A$1001,customers!$I$2:$I$1001,,0)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INDEX(products!$A$1:$G$49,MATCH(orders!$D690,products!$A$1:$A$49,0),MATCH(I$1,products!$A$1:$G$1,0))</f>
        <v>Ara</v>
      </c>
      <c r="J690" t="str">
        <f>INDEX(products!$A$1:$G$49,MATCH(orders!$D690,products!$A$1:$A$49,0),MATCH(J$1,products!$A$1:$G$1,0))</f>
        <v>L</v>
      </c>
      <c r="K690" s="6">
        <f>INDEX(products!$A$1:$G$49,MATCH(orders!$D690,products!$A$1:$A$49,0),MATCH(K$1,products!$A$1:$G$1,0))</f>
        <v>1</v>
      </c>
      <c r="L690" s="7">
        <f>INDEX(products!$A$1:$G$49,MATCH(orders!$D690,products!$A$1:$A$49,0),MATCH(L$1,products!$A$1:$G$1,0))</f>
        <v>12.95</v>
      </c>
      <c r="M690" s="7">
        <f t="shared" si="30"/>
        <v>64.75</v>
      </c>
      <c r="N690" t="str">
        <f t="shared" si="31"/>
        <v>Arabica</v>
      </c>
      <c r="O690" t="str">
        <f t="shared" si="32"/>
        <v>Light</v>
      </c>
      <c r="P690" t="str">
        <f>_xlfn.XLOOKUP(Table1[[#This Row],[Customer ID]],customers!$A$2:$A$1001,customers!$I$2:$I$1001,,0)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INDEX(products!$A$1:$G$49,MATCH(orders!$D691,products!$A$1:$A$49,0),MATCH(I$1,products!$A$1:$G$1,0))</f>
        <v>Ara</v>
      </c>
      <c r="J691" t="str">
        <f>INDEX(products!$A$1:$G$49,MATCH(orders!$D691,products!$A$1:$A$49,0),MATCH(J$1,products!$A$1:$G$1,0))</f>
        <v>M</v>
      </c>
      <c r="K691" s="6">
        <f>INDEX(products!$A$1:$G$49,MATCH(orders!$D691,products!$A$1:$A$49,0),MATCH(K$1,products!$A$1:$G$1,0))</f>
        <v>0.5</v>
      </c>
      <c r="L691" s="7">
        <f>INDEX(products!$A$1:$G$49,MATCH(orders!$D691,products!$A$1:$A$49,0),MATCH(L$1,products!$A$1:$G$1,0))</f>
        <v>6.75</v>
      </c>
      <c r="M691" s="7">
        <f t="shared" si="30"/>
        <v>33.75</v>
      </c>
      <c r="N691" t="str">
        <f t="shared" si="31"/>
        <v>Arabica</v>
      </c>
      <c r="O691" t="str">
        <f t="shared" si="32"/>
        <v>Medium</v>
      </c>
      <c r="P691" t="str">
        <f>_xlfn.XLOOKUP(Table1[[#This Row],[Customer ID]],customers!$A$2:$A$1001,customers!$I$2:$I$1001,,0)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INDEX(products!$A$1:$G$49,MATCH(orders!$D692,products!$A$1:$A$49,0),MATCH(I$1,products!$A$1:$G$1,0))</f>
        <v>Lib</v>
      </c>
      <c r="J692" t="str">
        <f>INDEX(products!$A$1:$G$49,MATCH(orders!$D692,products!$A$1:$A$49,0),MATCH(J$1,products!$A$1:$G$1,0))</f>
        <v>D</v>
      </c>
      <c r="K692" s="6">
        <f>INDEX(products!$A$1:$G$49,MATCH(orders!$D692,products!$A$1:$A$49,0),MATCH(K$1,products!$A$1:$G$1,0))</f>
        <v>2.5</v>
      </c>
      <c r="L692" s="7">
        <f>INDEX(products!$A$1:$G$49,MATCH(orders!$D692,products!$A$1:$A$49,0),MATCH(L$1,products!$A$1:$G$1,0))</f>
        <v>29.784999999999997</v>
      </c>
      <c r="M692" s="7">
        <f t="shared" si="30"/>
        <v>178.70999999999998</v>
      </c>
      <c r="N692" t="str">
        <f t="shared" si="31"/>
        <v>Liberica</v>
      </c>
      <c r="O692" t="str">
        <f t="shared" si="32"/>
        <v>Dark</v>
      </c>
      <c r="P692" t="str">
        <f>_xlfn.XLOOKUP(Table1[[#This Row],[Customer ID]],customers!$A$2:$A$1001,customers!$I$2:$I$1001,,0)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INDEX(products!$A$1:$G$49,MATCH(orders!$D693,products!$A$1:$A$49,0),MATCH(I$1,products!$A$1:$G$1,0))</f>
        <v>Ara</v>
      </c>
      <c r="J693" t="str">
        <f>INDEX(products!$A$1:$G$49,MATCH(orders!$D693,products!$A$1:$A$49,0),MATCH(J$1,products!$A$1:$G$1,0))</f>
        <v>M</v>
      </c>
      <c r="K693" s="6">
        <f>INDEX(products!$A$1:$G$49,MATCH(orders!$D693,products!$A$1:$A$49,0),MATCH(K$1,products!$A$1:$G$1,0))</f>
        <v>1</v>
      </c>
      <c r="L693" s="7">
        <f>INDEX(products!$A$1:$G$49,MATCH(orders!$D693,products!$A$1:$A$49,0),MATCH(L$1,products!$A$1:$G$1,0))</f>
        <v>11.25</v>
      </c>
      <c r="M693" s="7">
        <f t="shared" si="30"/>
        <v>22.5</v>
      </c>
      <c r="N693" t="str">
        <f t="shared" si="31"/>
        <v>Arabica</v>
      </c>
      <c r="O693" t="str">
        <f t="shared" si="32"/>
        <v>Medium</v>
      </c>
      <c r="P693" t="str">
        <f>_xlfn.XLOOKUP(Table1[[#This Row],[Customer ID]],customers!$A$2:$A$1001,customers!$I$2:$I$1001,,0)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INDEX(products!$A$1:$G$49,MATCH(orders!$D694,products!$A$1:$A$49,0),MATCH(I$1,products!$A$1:$G$1,0))</f>
        <v>Lib</v>
      </c>
      <c r="J694" t="str">
        <f>INDEX(products!$A$1:$G$49,MATCH(orders!$D694,products!$A$1:$A$49,0),MATCH(J$1,products!$A$1:$G$1,0))</f>
        <v>D</v>
      </c>
      <c r="K694" s="6">
        <f>INDEX(products!$A$1:$G$49,MATCH(orders!$D694,products!$A$1:$A$49,0),MATCH(K$1,products!$A$1:$G$1,0))</f>
        <v>1</v>
      </c>
      <c r="L694" s="7">
        <f>INDEX(products!$A$1:$G$49,MATCH(orders!$D694,products!$A$1:$A$49,0),MATCH(L$1,products!$A$1:$G$1,0))</f>
        <v>12.95</v>
      </c>
      <c r="M694" s="7">
        <f t="shared" si="30"/>
        <v>12.95</v>
      </c>
      <c r="N694" t="str">
        <f t="shared" si="31"/>
        <v>Liberica</v>
      </c>
      <c r="O694" t="str">
        <f t="shared" si="32"/>
        <v>Dark</v>
      </c>
      <c r="P694" t="str">
        <f>_xlfn.XLOOKUP(Table1[[#This Row],[Customer ID]],customers!$A$2:$A$1001,customers!$I$2:$I$1001,,0)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INDEX(products!$A$1:$G$49,MATCH(orders!$D695,products!$A$1:$A$49,0),MATCH(I$1,products!$A$1:$G$1,0))</f>
        <v>Ara</v>
      </c>
      <c r="J695" t="str">
        <f>INDEX(products!$A$1:$G$49,MATCH(orders!$D695,products!$A$1:$A$49,0),MATCH(J$1,products!$A$1:$G$1,0))</f>
        <v>M</v>
      </c>
      <c r="K695" s="6">
        <f>INDEX(products!$A$1:$G$49,MATCH(orders!$D695,products!$A$1:$A$49,0),MATCH(K$1,products!$A$1:$G$1,0))</f>
        <v>2.5</v>
      </c>
      <c r="L695" s="7">
        <f>INDEX(products!$A$1:$G$49,MATCH(orders!$D695,products!$A$1:$A$49,0),MATCH(L$1,products!$A$1:$G$1,0))</f>
        <v>25.874999999999996</v>
      </c>
      <c r="M695" s="7">
        <f t="shared" si="30"/>
        <v>51.749999999999993</v>
      </c>
      <c r="N695" t="str">
        <f t="shared" si="31"/>
        <v>Arabica</v>
      </c>
      <c r="O695" t="str">
        <f t="shared" si="32"/>
        <v>Medium</v>
      </c>
      <c r="P695" t="str">
        <f>_xlfn.XLOOKUP(Table1[[#This Row],[Customer ID]],customers!$A$2:$A$1001,customers!$I$2:$I$1001,,0)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INDEX(products!$A$1:$G$49,MATCH(orders!$D696,products!$A$1:$A$49,0),MATCH(I$1,products!$A$1:$G$1,0))</f>
        <v>Exc</v>
      </c>
      <c r="J696" t="str">
        <f>INDEX(products!$A$1:$G$49,MATCH(orders!$D696,products!$A$1:$A$49,0),MATCH(J$1,products!$A$1:$G$1,0))</f>
        <v>D</v>
      </c>
      <c r="K696" s="6">
        <f>INDEX(products!$A$1:$G$49,MATCH(orders!$D696,products!$A$1:$A$49,0),MATCH(K$1,products!$A$1:$G$1,0))</f>
        <v>0.5</v>
      </c>
      <c r="L696" s="7">
        <f>INDEX(products!$A$1:$G$49,MATCH(orders!$D696,products!$A$1:$A$49,0),MATCH(L$1,products!$A$1:$G$1,0))</f>
        <v>7.29</v>
      </c>
      <c r="M696" s="7">
        <f t="shared" si="30"/>
        <v>36.450000000000003</v>
      </c>
      <c r="N696" t="str">
        <f t="shared" si="31"/>
        <v>Excelsa</v>
      </c>
      <c r="O696" t="str">
        <f t="shared" si="32"/>
        <v>Dark</v>
      </c>
      <c r="P696" t="str">
        <f>_xlfn.XLOOKUP(Table1[[#This Row],[Customer ID]],customers!$A$2:$A$1001,customers!$I$2:$I$1001,,0)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INDEX(products!$A$1:$G$49,MATCH(orders!$D697,products!$A$1:$A$49,0),MATCH(I$1,products!$A$1:$G$1,0))</f>
        <v>Lib</v>
      </c>
      <c r="J697" t="str">
        <f>INDEX(products!$A$1:$G$49,MATCH(orders!$D697,products!$A$1:$A$49,0),MATCH(J$1,products!$A$1:$G$1,0))</f>
        <v>L</v>
      </c>
      <c r="K697" s="6">
        <f>INDEX(products!$A$1:$G$49,MATCH(orders!$D697,products!$A$1:$A$49,0),MATCH(K$1,products!$A$1:$G$1,0))</f>
        <v>2.5</v>
      </c>
      <c r="L697" s="7">
        <f>INDEX(products!$A$1:$G$49,MATCH(orders!$D697,products!$A$1:$A$49,0),MATCH(L$1,products!$A$1:$G$1,0))</f>
        <v>36.454999999999998</v>
      </c>
      <c r="M697" s="7">
        <f t="shared" si="30"/>
        <v>182.27499999999998</v>
      </c>
      <c r="N697" t="str">
        <f t="shared" si="31"/>
        <v>Liberica</v>
      </c>
      <c r="O697" t="str">
        <f t="shared" si="32"/>
        <v>Light</v>
      </c>
      <c r="P697" t="str">
        <f>_xlfn.XLOOKUP(Table1[[#This Row],[Customer ID]],customers!$A$2:$A$1001,customers!$I$2:$I$1001,,0)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INDEX(products!$A$1:$G$49,MATCH(orders!$D698,products!$A$1:$A$49,0),MATCH(I$1,products!$A$1:$G$1,0))</f>
        <v>Lib</v>
      </c>
      <c r="J698" t="str">
        <f>INDEX(products!$A$1:$G$49,MATCH(orders!$D698,products!$A$1:$A$49,0),MATCH(J$1,products!$A$1:$G$1,0))</f>
        <v>D</v>
      </c>
      <c r="K698" s="6">
        <f>INDEX(products!$A$1:$G$49,MATCH(orders!$D698,products!$A$1:$A$49,0),MATCH(K$1,products!$A$1:$G$1,0))</f>
        <v>0.5</v>
      </c>
      <c r="L698" s="7">
        <f>INDEX(products!$A$1:$G$49,MATCH(orders!$D698,products!$A$1:$A$49,0),MATCH(L$1,products!$A$1:$G$1,0))</f>
        <v>7.77</v>
      </c>
      <c r="M698" s="7">
        <f t="shared" si="30"/>
        <v>31.08</v>
      </c>
      <c r="N698" t="str">
        <f t="shared" si="31"/>
        <v>Liberica</v>
      </c>
      <c r="O698" t="str">
        <f t="shared" si="32"/>
        <v>Dark</v>
      </c>
      <c r="P698" t="str">
        <f>_xlfn.XLOOKUP(Table1[[#This Row],[Customer ID]],customers!$A$2:$A$1001,customers!$I$2:$I$1001,,0)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INDEX(products!$A$1:$G$49,MATCH(orders!$D699,products!$A$1:$A$49,0),MATCH(I$1,products!$A$1:$G$1,0))</f>
        <v>Ara</v>
      </c>
      <c r="J699" t="str">
        <f>INDEX(products!$A$1:$G$49,MATCH(orders!$D699,products!$A$1:$A$49,0),MATCH(J$1,products!$A$1:$G$1,0))</f>
        <v>M</v>
      </c>
      <c r="K699" s="6">
        <f>INDEX(products!$A$1:$G$49,MATCH(orders!$D699,products!$A$1:$A$49,0),MATCH(K$1,products!$A$1:$G$1,0))</f>
        <v>0.5</v>
      </c>
      <c r="L699" s="7">
        <f>INDEX(products!$A$1:$G$49,MATCH(orders!$D699,products!$A$1:$A$49,0),MATCH(L$1,products!$A$1:$G$1,0))</f>
        <v>6.75</v>
      </c>
      <c r="M699" s="7">
        <f t="shared" si="30"/>
        <v>20.25</v>
      </c>
      <c r="N699" t="str">
        <f t="shared" si="31"/>
        <v>Arabica</v>
      </c>
      <c r="O699" t="str">
        <f t="shared" si="32"/>
        <v>Medium</v>
      </c>
      <c r="P699" t="str">
        <f>_xlfn.XLOOKUP(Table1[[#This Row],[Customer ID]],customers!$A$2:$A$1001,customers!$I$2:$I$1001,,0)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INDEX(products!$A$1:$G$49,MATCH(orders!$D700,products!$A$1:$A$49,0),MATCH(I$1,products!$A$1:$G$1,0))</f>
        <v>Lib</v>
      </c>
      <c r="J700" t="str">
        <f>INDEX(products!$A$1:$G$49,MATCH(orders!$D700,products!$A$1:$A$49,0),MATCH(J$1,products!$A$1:$G$1,0))</f>
        <v>D</v>
      </c>
      <c r="K700" s="6">
        <f>INDEX(products!$A$1:$G$49,MATCH(orders!$D700,products!$A$1:$A$49,0),MATCH(K$1,products!$A$1:$G$1,0))</f>
        <v>1</v>
      </c>
      <c r="L700" s="7">
        <f>INDEX(products!$A$1:$G$49,MATCH(orders!$D700,products!$A$1:$A$49,0),MATCH(L$1,products!$A$1:$G$1,0))</f>
        <v>12.95</v>
      </c>
      <c r="M700" s="7">
        <f t="shared" si="30"/>
        <v>25.9</v>
      </c>
      <c r="N700" t="str">
        <f t="shared" si="31"/>
        <v>Liberica</v>
      </c>
      <c r="O700" t="str">
        <f t="shared" si="32"/>
        <v>Dark</v>
      </c>
      <c r="P700" t="str">
        <f>_xlfn.XLOOKUP(Table1[[#This Row],[Customer ID]],customers!$A$2:$A$1001,customers!$I$2:$I$1001,,0)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INDEX(products!$A$1:$G$49,MATCH(orders!$D701,products!$A$1:$A$49,0),MATCH(I$1,products!$A$1:$G$1,0))</f>
        <v>Ara</v>
      </c>
      <c r="J701" t="str">
        <f>INDEX(products!$A$1:$G$49,MATCH(orders!$D701,products!$A$1:$A$49,0),MATCH(J$1,products!$A$1:$G$1,0))</f>
        <v>D</v>
      </c>
      <c r="K701" s="6">
        <f>INDEX(products!$A$1:$G$49,MATCH(orders!$D701,products!$A$1:$A$49,0),MATCH(K$1,products!$A$1:$G$1,0))</f>
        <v>0.5</v>
      </c>
      <c r="L701" s="7">
        <f>INDEX(products!$A$1:$G$49,MATCH(orders!$D701,products!$A$1:$A$49,0),MATCH(L$1,products!$A$1:$G$1,0))</f>
        <v>5.97</v>
      </c>
      <c r="M701" s="7">
        <f t="shared" si="30"/>
        <v>23.88</v>
      </c>
      <c r="N701" t="str">
        <f t="shared" si="31"/>
        <v>Arabica</v>
      </c>
      <c r="O701" t="str">
        <f t="shared" si="32"/>
        <v>Dark</v>
      </c>
      <c r="P701" t="str">
        <f>_xlfn.XLOOKUP(Table1[[#This Row],[Customer ID]],customers!$A$2:$A$1001,customers!$I$2:$I$1001,,0)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INDEX(products!$A$1:$G$49,MATCH(orders!$D702,products!$A$1:$A$49,0),MATCH(I$1,products!$A$1:$G$1,0))</f>
        <v>Lib</v>
      </c>
      <c r="J702" t="str">
        <f>INDEX(products!$A$1:$G$49,MATCH(orders!$D702,products!$A$1:$A$49,0),MATCH(J$1,products!$A$1:$G$1,0))</f>
        <v>L</v>
      </c>
      <c r="K702" s="6">
        <f>INDEX(products!$A$1:$G$49,MATCH(orders!$D702,products!$A$1:$A$49,0),MATCH(K$1,products!$A$1:$G$1,0))</f>
        <v>0.5</v>
      </c>
      <c r="L702" s="7">
        <f>INDEX(products!$A$1:$G$49,MATCH(orders!$D702,products!$A$1:$A$49,0),MATCH(L$1,products!$A$1:$G$1,0))</f>
        <v>9.51</v>
      </c>
      <c r="M702" s="7">
        <f t="shared" si="30"/>
        <v>19.02</v>
      </c>
      <c r="N702" t="str">
        <f t="shared" si="31"/>
        <v>Liberica</v>
      </c>
      <c r="O702" t="str">
        <f t="shared" si="32"/>
        <v>Light</v>
      </c>
      <c r="P702" t="str">
        <f>_xlfn.XLOOKUP(Table1[[#This Row],[Customer ID]],customers!$A$2:$A$1001,customers!$I$2:$I$1001,,0)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INDEX(products!$A$1:$G$49,MATCH(orders!$D703,products!$A$1:$A$49,0),MATCH(I$1,products!$A$1:$G$1,0))</f>
        <v>Ara</v>
      </c>
      <c r="J703" t="str">
        <f>INDEX(products!$A$1:$G$49,MATCH(orders!$D703,products!$A$1:$A$49,0),MATCH(J$1,products!$A$1:$G$1,0))</f>
        <v>D</v>
      </c>
      <c r="K703" s="6">
        <f>INDEX(products!$A$1:$G$49,MATCH(orders!$D703,products!$A$1:$A$49,0),MATCH(K$1,products!$A$1:$G$1,0))</f>
        <v>0.5</v>
      </c>
      <c r="L703" s="7">
        <f>INDEX(products!$A$1:$G$49,MATCH(orders!$D703,products!$A$1:$A$49,0),MATCH(L$1,products!$A$1:$G$1,0))</f>
        <v>5.97</v>
      </c>
      <c r="M703" s="7">
        <f t="shared" si="30"/>
        <v>29.849999999999998</v>
      </c>
      <c r="N703" t="str">
        <f t="shared" si="31"/>
        <v>Arabica</v>
      </c>
      <c r="O703" t="str">
        <f t="shared" si="32"/>
        <v>Dark</v>
      </c>
      <c r="P703" t="str">
        <f>_xlfn.XLOOKUP(Table1[[#This Row],[Customer ID]],customers!$A$2:$A$1001,customers!$I$2:$I$1001,,0)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INDEX(products!$A$1:$G$49,MATCH(orders!$D704,products!$A$1:$A$49,0),MATCH(I$1,products!$A$1:$G$1,0))</f>
        <v>Ara</v>
      </c>
      <c r="J704" t="str">
        <f>INDEX(products!$A$1:$G$49,MATCH(orders!$D704,products!$A$1:$A$49,0),MATCH(J$1,products!$A$1:$G$1,0))</f>
        <v>L</v>
      </c>
      <c r="K704" s="6">
        <f>INDEX(products!$A$1:$G$49,MATCH(orders!$D704,products!$A$1:$A$49,0),MATCH(K$1,products!$A$1:$G$1,0))</f>
        <v>0.5</v>
      </c>
      <c r="L704" s="7">
        <f>INDEX(products!$A$1:$G$49,MATCH(orders!$D704,products!$A$1:$A$49,0),MATCH(L$1,products!$A$1:$G$1,0))</f>
        <v>7.77</v>
      </c>
      <c r="M704" s="7">
        <f t="shared" si="30"/>
        <v>7.77</v>
      </c>
      <c r="N704" t="str">
        <f t="shared" si="31"/>
        <v>Arabica</v>
      </c>
      <c r="O704" t="str">
        <f t="shared" si="32"/>
        <v>Light</v>
      </c>
      <c r="P704" t="str">
        <f>_xlfn.XLOOKUP(Table1[[#This Row],[Customer ID]],customers!$A$2:$A$1001,customers!$I$2:$I$1001,,0)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INDEX(products!$A$1:$G$49,MATCH(orders!$D705,products!$A$1:$A$49,0),MATCH(I$1,products!$A$1:$G$1,0))</f>
        <v>Lib</v>
      </c>
      <c r="J705" t="str">
        <f>INDEX(products!$A$1:$G$49,MATCH(orders!$D705,products!$A$1:$A$49,0),MATCH(J$1,products!$A$1:$G$1,0))</f>
        <v>D</v>
      </c>
      <c r="K705" s="6">
        <f>INDEX(products!$A$1:$G$49,MATCH(orders!$D705,products!$A$1:$A$49,0),MATCH(K$1,products!$A$1:$G$1,0))</f>
        <v>2.5</v>
      </c>
      <c r="L705" s="7">
        <f>INDEX(products!$A$1:$G$49,MATCH(orders!$D705,products!$A$1:$A$49,0),MATCH(L$1,products!$A$1:$G$1,0))</f>
        <v>29.784999999999997</v>
      </c>
      <c r="M705" s="7">
        <f t="shared" si="30"/>
        <v>119.13999999999999</v>
      </c>
      <c r="N705" t="str">
        <f t="shared" si="31"/>
        <v>Liberica</v>
      </c>
      <c r="O705" t="str">
        <f t="shared" si="32"/>
        <v>Dark</v>
      </c>
      <c r="P705" t="str">
        <f>_xlfn.XLOOKUP(Table1[[#This Row],[Customer ID]],customers!$A$2:$A$1001,customers!$I$2:$I$1001,,0)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INDEX(products!$A$1:$G$49,MATCH(orders!$D706,products!$A$1:$A$49,0),MATCH(I$1,products!$A$1:$G$1,0))</f>
        <v>Exc</v>
      </c>
      <c r="J706" t="str">
        <f>INDEX(products!$A$1:$G$49,MATCH(orders!$D706,products!$A$1:$A$49,0),MATCH(J$1,products!$A$1:$G$1,0))</f>
        <v>D</v>
      </c>
      <c r="K706" s="6">
        <f>INDEX(products!$A$1:$G$49,MATCH(orders!$D706,products!$A$1:$A$49,0),MATCH(K$1,products!$A$1:$G$1,0))</f>
        <v>0.2</v>
      </c>
      <c r="L706" s="7">
        <f>INDEX(products!$A$1:$G$49,MATCH(orders!$D706,products!$A$1:$A$49,0),MATCH(L$1,products!$A$1:$G$1,0))</f>
        <v>3.645</v>
      </c>
      <c r="M706" s="7">
        <f t="shared" si="30"/>
        <v>21.87</v>
      </c>
      <c r="N706" t="str">
        <f t="shared" si="31"/>
        <v>Excelsa</v>
      </c>
      <c r="O706" t="str">
        <f t="shared" si="32"/>
        <v>Dark</v>
      </c>
      <c r="P706" t="str">
        <f>_xlfn.XLOOKUP(Table1[[#This Row],[Customer ID]],customers!$A$2:$A$1001,customers!$I$2:$I$1001,,0)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INDEX(products!$A$1:$G$49,MATCH(orders!$D707,products!$A$1:$A$49,0),MATCH(I$1,products!$A$1:$G$1,0))</f>
        <v>Exc</v>
      </c>
      <c r="J707" t="str">
        <f>INDEX(products!$A$1:$G$49,MATCH(orders!$D707,products!$A$1:$A$49,0),MATCH(J$1,products!$A$1:$G$1,0))</f>
        <v>L</v>
      </c>
      <c r="K707" s="6">
        <f>INDEX(products!$A$1:$G$49,MATCH(orders!$D707,products!$A$1:$A$49,0),MATCH(K$1,products!$A$1:$G$1,0))</f>
        <v>0.5</v>
      </c>
      <c r="L707" s="7">
        <f>INDEX(products!$A$1:$G$49,MATCH(orders!$D707,products!$A$1:$A$49,0),MATCH(L$1,products!$A$1:$G$1,0))</f>
        <v>8.91</v>
      </c>
      <c r="M707" s="7">
        <f t="shared" ref="M707:M770" si="33">L707*E707</f>
        <v>17.82</v>
      </c>
      <c r="N707" t="str">
        <f t="shared" ref="N707:N770" si="34">IF(I707="Rob","Robusta",IF(I707="Exc","Excelsa",IF(I707="Ara","Arabica",IF(I707="Lib","Liberica",""))))</f>
        <v>Excelsa</v>
      </c>
      <c r="O707" t="str">
        <f t="shared" ref="O707:O770" si="35">IF(J707="M","Medium",IF(J707="L","Light",IF(J707="D","Dark","")))</f>
        <v>Light</v>
      </c>
      <c r="P707" t="str">
        <f>_xlfn.XLOOKUP(Table1[[#This Row],[Customer ID]],customers!$A$2:$A$1001,customers!$I$2:$I$1001,,0)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INDEX(products!$A$1:$G$49,MATCH(orders!$D708,products!$A$1:$A$49,0),MATCH(I$1,products!$A$1:$G$1,0))</f>
        <v>Exc</v>
      </c>
      <c r="J708" t="str">
        <f>INDEX(products!$A$1:$G$49,MATCH(orders!$D708,products!$A$1:$A$49,0),MATCH(J$1,products!$A$1:$G$1,0))</f>
        <v>M</v>
      </c>
      <c r="K708" s="6">
        <f>INDEX(products!$A$1:$G$49,MATCH(orders!$D708,products!$A$1:$A$49,0),MATCH(K$1,products!$A$1:$G$1,0))</f>
        <v>0.2</v>
      </c>
      <c r="L708" s="7">
        <f>INDEX(products!$A$1:$G$49,MATCH(orders!$D708,products!$A$1:$A$49,0),MATCH(L$1,products!$A$1:$G$1,0))</f>
        <v>4.125</v>
      </c>
      <c r="M708" s="7">
        <f t="shared" si="33"/>
        <v>12.375</v>
      </c>
      <c r="N708" t="str">
        <f t="shared" si="34"/>
        <v>Excelsa</v>
      </c>
      <c r="O708" t="str">
        <f t="shared" si="35"/>
        <v>Medium</v>
      </c>
      <c r="P708" t="str">
        <f>_xlfn.XLOOKUP(Table1[[#This Row],[Customer ID]],customers!$A$2:$A$1001,customers!$I$2:$I$1001,,0)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INDEX(products!$A$1:$G$49,MATCH(orders!$D709,products!$A$1:$A$49,0),MATCH(I$1,products!$A$1:$G$1,0))</f>
        <v>Lib</v>
      </c>
      <c r="J709" t="str">
        <f>INDEX(products!$A$1:$G$49,MATCH(orders!$D709,products!$A$1:$A$49,0),MATCH(J$1,products!$A$1:$G$1,0))</f>
        <v>D</v>
      </c>
      <c r="K709" s="6">
        <f>INDEX(products!$A$1:$G$49,MATCH(orders!$D709,products!$A$1:$A$49,0),MATCH(K$1,products!$A$1:$G$1,0))</f>
        <v>1</v>
      </c>
      <c r="L709" s="7">
        <f>INDEX(products!$A$1:$G$49,MATCH(orders!$D709,products!$A$1:$A$49,0),MATCH(L$1,products!$A$1:$G$1,0))</f>
        <v>12.95</v>
      </c>
      <c r="M709" s="7">
        <f t="shared" si="33"/>
        <v>25.9</v>
      </c>
      <c r="N709" t="str">
        <f t="shared" si="34"/>
        <v>Liberica</v>
      </c>
      <c r="O709" t="str">
        <f t="shared" si="35"/>
        <v>Dark</v>
      </c>
      <c r="P709" t="str">
        <f>_xlfn.XLOOKUP(Table1[[#This Row],[Customer ID]],customers!$A$2:$A$1001,customers!$I$2:$I$1001,,0)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INDEX(products!$A$1:$G$49,MATCH(orders!$D710,products!$A$1:$A$49,0),MATCH(I$1,products!$A$1:$G$1,0))</f>
        <v>Ara</v>
      </c>
      <c r="J710" t="str">
        <f>INDEX(products!$A$1:$G$49,MATCH(orders!$D710,products!$A$1:$A$49,0),MATCH(J$1,products!$A$1:$G$1,0))</f>
        <v>M</v>
      </c>
      <c r="K710" s="6">
        <f>INDEX(products!$A$1:$G$49,MATCH(orders!$D710,products!$A$1:$A$49,0),MATCH(K$1,products!$A$1:$G$1,0))</f>
        <v>0.5</v>
      </c>
      <c r="L710" s="7">
        <f>INDEX(products!$A$1:$G$49,MATCH(orders!$D710,products!$A$1:$A$49,0),MATCH(L$1,products!$A$1:$G$1,0))</f>
        <v>6.75</v>
      </c>
      <c r="M710" s="7">
        <f t="shared" si="33"/>
        <v>13.5</v>
      </c>
      <c r="N710" t="str">
        <f t="shared" si="34"/>
        <v>Arabica</v>
      </c>
      <c r="O710" t="str">
        <f t="shared" si="35"/>
        <v>Medium</v>
      </c>
      <c r="P710" t="str">
        <f>_xlfn.XLOOKUP(Table1[[#This Row],[Customer ID]],customers!$A$2:$A$1001,customers!$I$2:$I$1001,,0)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INDEX(products!$A$1:$G$49,MATCH(orders!$D711,products!$A$1:$A$49,0),MATCH(I$1,products!$A$1:$G$1,0))</f>
        <v>Exc</v>
      </c>
      <c r="J711" t="str">
        <f>INDEX(products!$A$1:$G$49,MATCH(orders!$D711,products!$A$1:$A$49,0),MATCH(J$1,products!$A$1:$G$1,0))</f>
        <v>L</v>
      </c>
      <c r="K711" s="6">
        <f>INDEX(products!$A$1:$G$49,MATCH(orders!$D711,products!$A$1:$A$49,0),MATCH(K$1,products!$A$1:$G$1,0))</f>
        <v>0.5</v>
      </c>
      <c r="L711" s="7">
        <f>INDEX(products!$A$1:$G$49,MATCH(orders!$D711,products!$A$1:$A$49,0),MATCH(L$1,products!$A$1:$G$1,0))</f>
        <v>8.91</v>
      </c>
      <c r="M711" s="7">
        <f t="shared" si="33"/>
        <v>17.82</v>
      </c>
      <c r="N711" t="str">
        <f t="shared" si="34"/>
        <v>Excelsa</v>
      </c>
      <c r="O711" t="str">
        <f t="shared" si="35"/>
        <v>Light</v>
      </c>
      <c r="P711" t="str">
        <f>_xlfn.XLOOKUP(Table1[[#This Row],[Customer ID]],customers!$A$2:$A$1001,customers!$I$2:$I$1001,,0)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INDEX(products!$A$1:$G$49,MATCH(orders!$D712,products!$A$1:$A$49,0),MATCH(I$1,products!$A$1:$G$1,0))</f>
        <v>Exc</v>
      </c>
      <c r="J712" t="str">
        <f>INDEX(products!$A$1:$G$49,MATCH(orders!$D712,products!$A$1:$A$49,0),MATCH(J$1,products!$A$1:$G$1,0))</f>
        <v>M</v>
      </c>
      <c r="K712" s="6">
        <f>INDEX(products!$A$1:$G$49,MATCH(orders!$D712,products!$A$1:$A$49,0),MATCH(K$1,products!$A$1:$G$1,0))</f>
        <v>0.5</v>
      </c>
      <c r="L712" s="7">
        <f>INDEX(products!$A$1:$G$49,MATCH(orders!$D712,products!$A$1:$A$49,0),MATCH(L$1,products!$A$1:$G$1,0))</f>
        <v>8.25</v>
      </c>
      <c r="M712" s="7">
        <f t="shared" si="33"/>
        <v>24.75</v>
      </c>
      <c r="N712" t="str">
        <f t="shared" si="34"/>
        <v>Excelsa</v>
      </c>
      <c r="O712" t="str">
        <f t="shared" si="35"/>
        <v>Medium</v>
      </c>
      <c r="P712" t="str">
        <f>_xlfn.XLOOKUP(Table1[[#This Row],[Customer ID]],customers!$A$2:$A$1001,customers!$I$2:$I$1001,,0)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INDEX(products!$A$1:$G$49,MATCH(orders!$D713,products!$A$1:$A$49,0),MATCH(I$1,products!$A$1:$G$1,0))</f>
        <v>Rob</v>
      </c>
      <c r="J713" t="str">
        <f>INDEX(products!$A$1:$G$49,MATCH(orders!$D713,products!$A$1:$A$49,0),MATCH(J$1,products!$A$1:$G$1,0))</f>
        <v>M</v>
      </c>
      <c r="K713" s="6">
        <f>INDEX(products!$A$1:$G$49,MATCH(orders!$D713,products!$A$1:$A$49,0),MATCH(K$1,products!$A$1:$G$1,0))</f>
        <v>0.2</v>
      </c>
      <c r="L713" s="7">
        <f>INDEX(products!$A$1:$G$49,MATCH(orders!$D713,products!$A$1:$A$49,0),MATCH(L$1,products!$A$1:$G$1,0))</f>
        <v>2.9849999999999999</v>
      </c>
      <c r="M713" s="7">
        <f t="shared" si="33"/>
        <v>17.91</v>
      </c>
      <c r="N713" t="str">
        <f t="shared" si="34"/>
        <v>Robusta</v>
      </c>
      <c r="O713" t="str">
        <f t="shared" si="35"/>
        <v>Medium</v>
      </c>
      <c r="P713" t="str">
        <f>_xlfn.XLOOKUP(Table1[[#This Row],[Customer ID]],customers!$A$2:$A$1001,customers!$I$2:$I$1001,,0)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INDEX(products!$A$1:$G$49,MATCH(orders!$D714,products!$A$1:$A$49,0),MATCH(I$1,products!$A$1:$G$1,0))</f>
        <v>Exc</v>
      </c>
      <c r="J714" t="str">
        <f>INDEX(products!$A$1:$G$49,MATCH(orders!$D714,products!$A$1:$A$49,0),MATCH(J$1,products!$A$1:$G$1,0))</f>
        <v>M</v>
      </c>
      <c r="K714" s="6">
        <f>INDEX(products!$A$1:$G$49,MATCH(orders!$D714,products!$A$1:$A$49,0),MATCH(K$1,products!$A$1:$G$1,0))</f>
        <v>0.5</v>
      </c>
      <c r="L714" s="7">
        <f>INDEX(products!$A$1:$G$49,MATCH(orders!$D714,products!$A$1:$A$49,0),MATCH(L$1,products!$A$1:$G$1,0))</f>
        <v>8.25</v>
      </c>
      <c r="M714" s="7">
        <f t="shared" si="33"/>
        <v>16.5</v>
      </c>
      <c r="N714" t="str">
        <f t="shared" si="34"/>
        <v>Excelsa</v>
      </c>
      <c r="O714" t="str">
        <f t="shared" si="35"/>
        <v>Medium</v>
      </c>
      <c r="P714" t="str">
        <f>_xlfn.XLOOKUP(Table1[[#This Row],[Customer ID]],customers!$A$2:$A$1001,customers!$I$2:$I$1001,,0)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INDEX(products!$A$1:$G$49,MATCH(orders!$D715,products!$A$1:$A$49,0),MATCH(I$1,products!$A$1:$G$1,0))</f>
        <v>Rob</v>
      </c>
      <c r="J715" t="str">
        <f>INDEX(products!$A$1:$G$49,MATCH(orders!$D715,products!$A$1:$A$49,0),MATCH(J$1,products!$A$1:$G$1,0))</f>
        <v>M</v>
      </c>
      <c r="K715" s="6">
        <f>INDEX(products!$A$1:$G$49,MATCH(orders!$D715,products!$A$1:$A$49,0),MATCH(K$1,products!$A$1:$G$1,0))</f>
        <v>0.2</v>
      </c>
      <c r="L715" s="7">
        <f>INDEX(products!$A$1:$G$49,MATCH(orders!$D715,products!$A$1:$A$49,0),MATCH(L$1,products!$A$1:$G$1,0))</f>
        <v>2.9849999999999999</v>
      </c>
      <c r="M715" s="7">
        <f t="shared" si="33"/>
        <v>2.9849999999999999</v>
      </c>
      <c r="N715" t="str">
        <f t="shared" si="34"/>
        <v>Robusta</v>
      </c>
      <c r="O715" t="str">
        <f t="shared" si="35"/>
        <v>Medium</v>
      </c>
      <c r="P715" t="str">
        <f>_xlfn.XLOOKUP(Table1[[#This Row],[Customer ID]],customers!$A$2:$A$1001,customers!$I$2:$I$1001,,0)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INDEX(products!$A$1:$G$49,MATCH(orders!$D716,products!$A$1:$A$49,0),MATCH(I$1,products!$A$1:$G$1,0))</f>
        <v>Exc</v>
      </c>
      <c r="J716" t="str">
        <f>INDEX(products!$A$1:$G$49,MATCH(orders!$D716,products!$A$1:$A$49,0),MATCH(J$1,products!$A$1:$G$1,0))</f>
        <v>D</v>
      </c>
      <c r="K716" s="6">
        <f>INDEX(products!$A$1:$G$49,MATCH(orders!$D716,products!$A$1:$A$49,0),MATCH(K$1,products!$A$1:$G$1,0))</f>
        <v>0.2</v>
      </c>
      <c r="L716" s="7">
        <f>INDEX(products!$A$1:$G$49,MATCH(orders!$D716,products!$A$1:$A$49,0),MATCH(L$1,products!$A$1:$G$1,0))</f>
        <v>3.645</v>
      </c>
      <c r="M716" s="7">
        <f t="shared" si="33"/>
        <v>14.58</v>
      </c>
      <c r="N716" t="str">
        <f t="shared" si="34"/>
        <v>Excelsa</v>
      </c>
      <c r="O716" t="str">
        <f t="shared" si="35"/>
        <v>Dark</v>
      </c>
      <c r="P716" t="str">
        <f>_xlfn.XLOOKUP(Table1[[#This Row],[Customer ID]],customers!$A$2:$A$1001,customers!$I$2:$I$1001,,0)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INDEX(products!$A$1:$G$49,MATCH(orders!$D717,products!$A$1:$A$49,0),MATCH(I$1,products!$A$1:$G$1,0))</f>
        <v>Exc</v>
      </c>
      <c r="J717" t="str">
        <f>INDEX(products!$A$1:$G$49,MATCH(orders!$D717,products!$A$1:$A$49,0),MATCH(J$1,products!$A$1:$G$1,0))</f>
        <v>L</v>
      </c>
      <c r="K717" s="6">
        <f>INDEX(products!$A$1:$G$49,MATCH(orders!$D717,products!$A$1:$A$49,0),MATCH(K$1,products!$A$1:$G$1,0))</f>
        <v>1</v>
      </c>
      <c r="L717" s="7">
        <f>INDEX(products!$A$1:$G$49,MATCH(orders!$D717,products!$A$1:$A$49,0),MATCH(L$1,products!$A$1:$G$1,0))</f>
        <v>14.85</v>
      </c>
      <c r="M717" s="7">
        <f t="shared" si="33"/>
        <v>89.1</v>
      </c>
      <c r="N717" t="str">
        <f t="shared" si="34"/>
        <v>Excelsa</v>
      </c>
      <c r="O717" t="str">
        <f t="shared" si="35"/>
        <v>Light</v>
      </c>
      <c r="P717" t="str">
        <f>_xlfn.XLOOKUP(Table1[[#This Row],[Customer ID]],customers!$A$2:$A$1001,customers!$I$2:$I$1001,,0)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INDEX(products!$A$1:$G$49,MATCH(orders!$D718,products!$A$1:$A$49,0),MATCH(I$1,products!$A$1:$G$1,0))</f>
        <v>Rob</v>
      </c>
      <c r="J718" t="str">
        <f>INDEX(products!$A$1:$G$49,MATCH(orders!$D718,products!$A$1:$A$49,0),MATCH(J$1,products!$A$1:$G$1,0))</f>
        <v>L</v>
      </c>
      <c r="K718" s="6">
        <f>INDEX(products!$A$1:$G$49,MATCH(orders!$D718,products!$A$1:$A$49,0),MATCH(K$1,products!$A$1:$G$1,0))</f>
        <v>1</v>
      </c>
      <c r="L718" s="7">
        <f>INDEX(products!$A$1:$G$49,MATCH(orders!$D718,products!$A$1:$A$49,0),MATCH(L$1,products!$A$1:$G$1,0))</f>
        <v>11.95</v>
      </c>
      <c r="M718" s="7">
        <f t="shared" si="33"/>
        <v>35.849999999999994</v>
      </c>
      <c r="N718" t="str">
        <f t="shared" si="34"/>
        <v>Robusta</v>
      </c>
      <c r="O718" t="str">
        <f t="shared" si="35"/>
        <v>Light</v>
      </c>
      <c r="P718" t="str">
        <f>_xlfn.XLOOKUP(Table1[[#This Row],[Customer ID]],customers!$A$2:$A$1001,customers!$I$2:$I$1001,,0)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INDEX(products!$A$1:$G$49,MATCH(orders!$D719,products!$A$1:$A$49,0),MATCH(I$1,products!$A$1:$G$1,0))</f>
        <v>Ara</v>
      </c>
      <c r="J719" t="str">
        <f>INDEX(products!$A$1:$G$49,MATCH(orders!$D719,products!$A$1:$A$49,0),MATCH(J$1,products!$A$1:$G$1,0))</f>
        <v>D</v>
      </c>
      <c r="K719" s="6">
        <f>INDEX(products!$A$1:$G$49,MATCH(orders!$D719,products!$A$1:$A$49,0),MATCH(K$1,products!$A$1:$G$1,0))</f>
        <v>2.5</v>
      </c>
      <c r="L719" s="7">
        <f>INDEX(products!$A$1:$G$49,MATCH(orders!$D719,products!$A$1:$A$49,0),MATCH(L$1,products!$A$1:$G$1,0))</f>
        <v>22.884999999999998</v>
      </c>
      <c r="M719" s="7">
        <f t="shared" si="33"/>
        <v>68.655000000000001</v>
      </c>
      <c r="N719" t="str">
        <f t="shared" si="34"/>
        <v>Arabica</v>
      </c>
      <c r="O719" t="str">
        <f t="shared" si="35"/>
        <v>Dark</v>
      </c>
      <c r="P719" t="str">
        <f>_xlfn.XLOOKUP(Table1[[#This Row],[Customer ID]],customers!$A$2:$A$1001,customers!$I$2:$I$1001,,0)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INDEX(products!$A$1:$G$49,MATCH(orders!$D720,products!$A$1:$A$49,0),MATCH(I$1,products!$A$1:$G$1,0))</f>
        <v>Lib</v>
      </c>
      <c r="J720" t="str">
        <f>INDEX(products!$A$1:$G$49,MATCH(orders!$D720,products!$A$1:$A$49,0),MATCH(J$1,products!$A$1:$G$1,0))</f>
        <v>D</v>
      </c>
      <c r="K720" s="6">
        <f>INDEX(products!$A$1:$G$49,MATCH(orders!$D720,products!$A$1:$A$49,0),MATCH(K$1,products!$A$1:$G$1,0))</f>
        <v>1</v>
      </c>
      <c r="L720" s="7">
        <f>INDEX(products!$A$1:$G$49,MATCH(orders!$D720,products!$A$1:$A$49,0),MATCH(L$1,products!$A$1:$G$1,0))</f>
        <v>12.95</v>
      </c>
      <c r="M720" s="7">
        <f t="shared" si="33"/>
        <v>38.849999999999994</v>
      </c>
      <c r="N720" t="str">
        <f t="shared" si="34"/>
        <v>Liberica</v>
      </c>
      <c r="O720" t="str">
        <f t="shared" si="35"/>
        <v>Dark</v>
      </c>
      <c r="P720" t="str">
        <f>_xlfn.XLOOKUP(Table1[[#This Row],[Customer ID]],customers!$A$2:$A$1001,customers!$I$2:$I$1001,,0)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INDEX(products!$A$1:$G$49,MATCH(orders!$D721,products!$A$1:$A$49,0),MATCH(I$1,products!$A$1:$G$1,0))</f>
        <v>Lib</v>
      </c>
      <c r="J721" t="str">
        <f>INDEX(products!$A$1:$G$49,MATCH(orders!$D721,products!$A$1:$A$49,0),MATCH(J$1,products!$A$1:$G$1,0))</f>
        <v>L</v>
      </c>
      <c r="K721" s="6">
        <f>INDEX(products!$A$1:$G$49,MATCH(orders!$D721,products!$A$1:$A$49,0),MATCH(K$1,products!$A$1:$G$1,0))</f>
        <v>1</v>
      </c>
      <c r="L721" s="7">
        <f>INDEX(products!$A$1:$G$49,MATCH(orders!$D721,products!$A$1:$A$49,0),MATCH(L$1,products!$A$1:$G$1,0))</f>
        <v>15.85</v>
      </c>
      <c r="M721" s="7">
        <f t="shared" si="33"/>
        <v>79.25</v>
      </c>
      <c r="N721" t="str">
        <f t="shared" si="34"/>
        <v>Liberica</v>
      </c>
      <c r="O721" t="str">
        <f t="shared" si="35"/>
        <v>Light</v>
      </c>
      <c r="P721" t="str">
        <f>_xlfn.XLOOKUP(Table1[[#This Row],[Customer ID]],customers!$A$2:$A$1001,customers!$I$2:$I$1001,,0)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INDEX(products!$A$1:$G$49,MATCH(orders!$D722,products!$A$1:$A$49,0),MATCH(I$1,products!$A$1:$G$1,0))</f>
        <v>Exc</v>
      </c>
      <c r="J722" t="str">
        <f>INDEX(products!$A$1:$G$49,MATCH(orders!$D722,products!$A$1:$A$49,0),MATCH(J$1,products!$A$1:$G$1,0))</f>
        <v>D</v>
      </c>
      <c r="K722" s="6">
        <f>INDEX(products!$A$1:$G$49,MATCH(orders!$D722,products!$A$1:$A$49,0),MATCH(K$1,products!$A$1:$G$1,0))</f>
        <v>0.5</v>
      </c>
      <c r="L722" s="7">
        <f>INDEX(products!$A$1:$G$49,MATCH(orders!$D722,products!$A$1:$A$49,0),MATCH(L$1,products!$A$1:$G$1,0))</f>
        <v>7.29</v>
      </c>
      <c r="M722" s="7">
        <f t="shared" si="33"/>
        <v>36.450000000000003</v>
      </c>
      <c r="N722" t="str">
        <f t="shared" si="34"/>
        <v>Excelsa</v>
      </c>
      <c r="O722" t="str">
        <f t="shared" si="35"/>
        <v>Dark</v>
      </c>
      <c r="P722" t="str">
        <f>_xlfn.XLOOKUP(Table1[[#This Row],[Customer ID]],customers!$A$2:$A$1001,customers!$I$2:$I$1001,,0)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INDEX(products!$A$1:$G$49,MATCH(orders!$D723,products!$A$1:$A$49,0),MATCH(I$1,products!$A$1:$G$1,0))</f>
        <v>Rob</v>
      </c>
      <c r="J723" t="str">
        <f>INDEX(products!$A$1:$G$49,MATCH(orders!$D723,products!$A$1:$A$49,0),MATCH(J$1,products!$A$1:$G$1,0))</f>
        <v>M</v>
      </c>
      <c r="K723" s="6">
        <f>INDEX(products!$A$1:$G$49,MATCH(orders!$D723,products!$A$1:$A$49,0),MATCH(K$1,products!$A$1:$G$1,0))</f>
        <v>0.2</v>
      </c>
      <c r="L723" s="7">
        <f>INDEX(products!$A$1:$G$49,MATCH(orders!$D723,products!$A$1:$A$49,0),MATCH(L$1,products!$A$1:$G$1,0))</f>
        <v>2.9849999999999999</v>
      </c>
      <c r="M723" s="7">
        <f t="shared" si="33"/>
        <v>8.9550000000000001</v>
      </c>
      <c r="N723" t="str">
        <f t="shared" si="34"/>
        <v>Robusta</v>
      </c>
      <c r="O723" t="str">
        <f t="shared" si="35"/>
        <v>Medium</v>
      </c>
      <c r="P723" t="str">
        <f>_xlfn.XLOOKUP(Table1[[#This Row],[Customer ID]],customers!$A$2:$A$1001,customers!$I$2:$I$1001,,0)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INDEX(products!$A$1:$G$49,MATCH(orders!$D724,products!$A$1:$A$49,0),MATCH(I$1,products!$A$1:$G$1,0))</f>
        <v>Exc</v>
      </c>
      <c r="J724" t="str">
        <f>INDEX(products!$A$1:$G$49,MATCH(orders!$D724,products!$A$1:$A$49,0),MATCH(J$1,products!$A$1:$G$1,0))</f>
        <v>D</v>
      </c>
      <c r="K724" s="6">
        <f>INDEX(products!$A$1:$G$49,MATCH(orders!$D724,products!$A$1:$A$49,0),MATCH(K$1,products!$A$1:$G$1,0))</f>
        <v>1</v>
      </c>
      <c r="L724" s="7">
        <f>INDEX(products!$A$1:$G$49,MATCH(orders!$D724,products!$A$1:$A$49,0),MATCH(L$1,products!$A$1:$G$1,0))</f>
        <v>12.15</v>
      </c>
      <c r="M724" s="7">
        <f t="shared" si="33"/>
        <v>24.3</v>
      </c>
      <c r="N724" t="str">
        <f t="shared" si="34"/>
        <v>Excelsa</v>
      </c>
      <c r="O724" t="str">
        <f t="shared" si="35"/>
        <v>Dark</v>
      </c>
      <c r="P724" t="str">
        <f>_xlfn.XLOOKUP(Table1[[#This Row],[Customer ID]],customers!$A$2:$A$1001,customers!$I$2:$I$1001,,0)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INDEX(products!$A$1:$G$49,MATCH(orders!$D725,products!$A$1:$A$49,0),MATCH(I$1,products!$A$1:$G$1,0))</f>
        <v>Exc</v>
      </c>
      <c r="J725" t="str">
        <f>INDEX(products!$A$1:$G$49,MATCH(orders!$D725,products!$A$1:$A$49,0),MATCH(J$1,products!$A$1:$G$1,0))</f>
        <v>M</v>
      </c>
      <c r="K725" s="6">
        <f>INDEX(products!$A$1:$G$49,MATCH(orders!$D725,products!$A$1:$A$49,0),MATCH(K$1,products!$A$1:$G$1,0))</f>
        <v>2.5</v>
      </c>
      <c r="L725" s="7">
        <f>INDEX(products!$A$1:$G$49,MATCH(orders!$D725,products!$A$1:$A$49,0),MATCH(L$1,products!$A$1:$G$1,0))</f>
        <v>31.624999999999996</v>
      </c>
      <c r="M725" s="7">
        <f t="shared" si="33"/>
        <v>63.249999999999993</v>
      </c>
      <c r="N725" t="str">
        <f t="shared" si="34"/>
        <v>Excelsa</v>
      </c>
      <c r="O725" t="str">
        <f t="shared" si="35"/>
        <v>Medium</v>
      </c>
      <c r="P725" t="str">
        <f>_xlfn.XLOOKUP(Table1[[#This Row],[Customer ID]],customers!$A$2:$A$1001,customers!$I$2:$I$1001,,0)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INDEX(products!$A$1:$G$49,MATCH(orders!$D726,products!$A$1:$A$49,0),MATCH(I$1,products!$A$1:$G$1,0))</f>
        <v>Ara</v>
      </c>
      <c r="J726" t="str">
        <f>INDEX(products!$A$1:$G$49,MATCH(orders!$D726,products!$A$1:$A$49,0),MATCH(J$1,products!$A$1:$G$1,0))</f>
        <v>M</v>
      </c>
      <c r="K726" s="6">
        <f>INDEX(products!$A$1:$G$49,MATCH(orders!$D726,products!$A$1:$A$49,0),MATCH(K$1,products!$A$1:$G$1,0))</f>
        <v>0.2</v>
      </c>
      <c r="L726" s="7">
        <f>INDEX(products!$A$1:$G$49,MATCH(orders!$D726,products!$A$1:$A$49,0),MATCH(L$1,products!$A$1:$G$1,0))</f>
        <v>3.375</v>
      </c>
      <c r="M726" s="7">
        <f t="shared" si="33"/>
        <v>6.75</v>
      </c>
      <c r="N726" t="str">
        <f t="shared" si="34"/>
        <v>Arabica</v>
      </c>
      <c r="O726" t="str">
        <f t="shared" si="35"/>
        <v>Medium</v>
      </c>
      <c r="P726" t="str">
        <f>_xlfn.XLOOKUP(Table1[[#This Row],[Customer ID]],customers!$A$2:$A$1001,customers!$I$2:$I$1001,,0)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INDEX(products!$A$1:$G$49,MATCH(orders!$D727,products!$A$1:$A$49,0),MATCH(I$1,products!$A$1:$G$1,0))</f>
        <v>Ara</v>
      </c>
      <c r="J727" t="str">
        <f>INDEX(products!$A$1:$G$49,MATCH(orders!$D727,products!$A$1:$A$49,0),MATCH(J$1,products!$A$1:$G$1,0))</f>
        <v>L</v>
      </c>
      <c r="K727" s="6">
        <f>INDEX(products!$A$1:$G$49,MATCH(orders!$D727,products!$A$1:$A$49,0),MATCH(K$1,products!$A$1:$G$1,0))</f>
        <v>0.2</v>
      </c>
      <c r="L727" s="7">
        <f>INDEX(products!$A$1:$G$49,MATCH(orders!$D727,products!$A$1:$A$49,0),MATCH(L$1,products!$A$1:$G$1,0))</f>
        <v>3.8849999999999998</v>
      </c>
      <c r="M727" s="7">
        <f t="shared" si="33"/>
        <v>23.31</v>
      </c>
      <c r="N727" t="str">
        <f t="shared" si="34"/>
        <v>Arabica</v>
      </c>
      <c r="O727" t="str">
        <f t="shared" si="35"/>
        <v>Light</v>
      </c>
      <c r="P727" t="str">
        <f>_xlfn.XLOOKUP(Table1[[#This Row],[Customer ID]],customers!$A$2:$A$1001,customers!$I$2:$I$1001,,0)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INDEX(products!$A$1:$G$49,MATCH(orders!$D728,products!$A$1:$A$49,0),MATCH(I$1,products!$A$1:$G$1,0))</f>
        <v>Lib</v>
      </c>
      <c r="J728" t="str">
        <f>INDEX(products!$A$1:$G$49,MATCH(orders!$D728,products!$A$1:$A$49,0),MATCH(J$1,products!$A$1:$G$1,0))</f>
        <v>L</v>
      </c>
      <c r="K728" s="6">
        <f>INDEX(products!$A$1:$G$49,MATCH(orders!$D728,products!$A$1:$A$49,0),MATCH(K$1,products!$A$1:$G$1,0))</f>
        <v>2.5</v>
      </c>
      <c r="L728" s="7">
        <f>INDEX(products!$A$1:$G$49,MATCH(orders!$D728,products!$A$1:$A$49,0),MATCH(L$1,products!$A$1:$G$1,0))</f>
        <v>36.454999999999998</v>
      </c>
      <c r="M728" s="7">
        <f t="shared" si="33"/>
        <v>145.82</v>
      </c>
      <c r="N728" t="str">
        <f t="shared" si="34"/>
        <v>Liberica</v>
      </c>
      <c r="O728" t="str">
        <f t="shared" si="35"/>
        <v>Light</v>
      </c>
      <c r="P728" t="str">
        <f>_xlfn.XLOOKUP(Table1[[#This Row],[Customer ID]],customers!$A$2:$A$1001,customers!$I$2:$I$1001,,0)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INDEX(products!$A$1:$G$49,MATCH(orders!$D729,products!$A$1:$A$49,0),MATCH(I$1,products!$A$1:$G$1,0))</f>
        <v>Rob</v>
      </c>
      <c r="J729" t="str">
        <f>INDEX(products!$A$1:$G$49,MATCH(orders!$D729,products!$A$1:$A$49,0),MATCH(J$1,products!$A$1:$G$1,0))</f>
        <v>M</v>
      </c>
      <c r="K729" s="6">
        <f>INDEX(products!$A$1:$G$49,MATCH(orders!$D729,products!$A$1:$A$49,0),MATCH(K$1,products!$A$1:$G$1,0))</f>
        <v>0.5</v>
      </c>
      <c r="L729" s="7">
        <f>INDEX(products!$A$1:$G$49,MATCH(orders!$D729,products!$A$1:$A$49,0),MATCH(L$1,products!$A$1:$G$1,0))</f>
        <v>5.97</v>
      </c>
      <c r="M729" s="7">
        <f t="shared" si="33"/>
        <v>29.849999999999998</v>
      </c>
      <c r="N729" t="str">
        <f t="shared" si="34"/>
        <v>Robusta</v>
      </c>
      <c r="O729" t="str">
        <f t="shared" si="35"/>
        <v>Medium</v>
      </c>
      <c r="P729" t="str">
        <f>_xlfn.XLOOKUP(Table1[[#This Row],[Customer ID]],customers!$A$2:$A$1001,customers!$I$2:$I$1001,,0)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INDEX(products!$A$1:$G$49,MATCH(orders!$D730,products!$A$1:$A$49,0),MATCH(I$1,products!$A$1:$G$1,0))</f>
        <v>Exc</v>
      </c>
      <c r="J730" t="str">
        <f>INDEX(products!$A$1:$G$49,MATCH(orders!$D730,products!$A$1:$A$49,0),MATCH(J$1,products!$A$1:$G$1,0))</f>
        <v>D</v>
      </c>
      <c r="K730" s="6">
        <f>INDEX(products!$A$1:$G$49,MATCH(orders!$D730,products!$A$1:$A$49,0),MATCH(K$1,products!$A$1:$G$1,0))</f>
        <v>0.5</v>
      </c>
      <c r="L730" s="7">
        <f>INDEX(products!$A$1:$G$49,MATCH(orders!$D730,products!$A$1:$A$49,0),MATCH(L$1,products!$A$1:$G$1,0))</f>
        <v>7.29</v>
      </c>
      <c r="M730" s="7">
        <f t="shared" si="33"/>
        <v>21.87</v>
      </c>
      <c r="N730" t="str">
        <f t="shared" si="34"/>
        <v>Excelsa</v>
      </c>
      <c r="O730" t="str">
        <f t="shared" si="35"/>
        <v>Dark</v>
      </c>
      <c r="P730" t="str">
        <f>_xlfn.XLOOKUP(Table1[[#This Row],[Customer ID]],customers!$A$2:$A$1001,customers!$I$2:$I$1001,,0)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INDEX(products!$A$1:$G$49,MATCH(orders!$D731,products!$A$1:$A$49,0),MATCH(I$1,products!$A$1:$G$1,0))</f>
        <v>Lib</v>
      </c>
      <c r="J731" t="str">
        <f>INDEX(products!$A$1:$G$49,MATCH(orders!$D731,products!$A$1:$A$49,0),MATCH(J$1,products!$A$1:$G$1,0))</f>
        <v>M</v>
      </c>
      <c r="K731" s="6">
        <f>INDEX(products!$A$1:$G$49,MATCH(orders!$D731,products!$A$1:$A$49,0),MATCH(K$1,products!$A$1:$G$1,0))</f>
        <v>0.2</v>
      </c>
      <c r="L731" s="7">
        <f>INDEX(products!$A$1:$G$49,MATCH(orders!$D731,products!$A$1:$A$49,0),MATCH(L$1,products!$A$1:$G$1,0))</f>
        <v>4.3650000000000002</v>
      </c>
      <c r="M731" s="7">
        <f t="shared" si="33"/>
        <v>4.3650000000000002</v>
      </c>
      <c r="N731" t="str">
        <f t="shared" si="34"/>
        <v>Liberica</v>
      </c>
      <c r="O731" t="str">
        <f t="shared" si="35"/>
        <v>Medium</v>
      </c>
      <c r="P731" t="str">
        <f>_xlfn.XLOOKUP(Table1[[#This Row],[Customer ID]],customers!$A$2:$A$1001,customers!$I$2:$I$1001,,0)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INDEX(products!$A$1:$G$49,MATCH(orders!$D732,products!$A$1:$A$49,0),MATCH(I$1,products!$A$1:$G$1,0))</f>
        <v>Lib</v>
      </c>
      <c r="J732" t="str">
        <f>INDEX(products!$A$1:$G$49,MATCH(orders!$D732,products!$A$1:$A$49,0),MATCH(J$1,products!$A$1:$G$1,0))</f>
        <v>L</v>
      </c>
      <c r="K732" s="6">
        <f>INDEX(products!$A$1:$G$49,MATCH(orders!$D732,products!$A$1:$A$49,0),MATCH(K$1,products!$A$1:$G$1,0))</f>
        <v>2.5</v>
      </c>
      <c r="L732" s="7">
        <f>INDEX(products!$A$1:$G$49,MATCH(orders!$D732,products!$A$1:$A$49,0),MATCH(L$1,products!$A$1:$G$1,0))</f>
        <v>36.454999999999998</v>
      </c>
      <c r="M732" s="7">
        <f t="shared" si="33"/>
        <v>36.454999999999998</v>
      </c>
      <c r="N732" t="str">
        <f t="shared" si="34"/>
        <v>Liberica</v>
      </c>
      <c r="O732" t="str">
        <f t="shared" si="35"/>
        <v>Light</v>
      </c>
      <c r="P732" t="str">
        <f>_xlfn.XLOOKUP(Table1[[#This Row],[Customer ID]],customers!$A$2:$A$1001,customers!$I$2:$I$1001,,0)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INDEX(products!$A$1:$G$49,MATCH(orders!$D733,products!$A$1:$A$49,0),MATCH(I$1,products!$A$1:$G$1,0))</f>
        <v>Lib</v>
      </c>
      <c r="J733" t="str">
        <f>INDEX(products!$A$1:$G$49,MATCH(orders!$D733,products!$A$1:$A$49,0),MATCH(J$1,products!$A$1:$G$1,0))</f>
        <v>D</v>
      </c>
      <c r="K733" s="6">
        <f>INDEX(products!$A$1:$G$49,MATCH(orders!$D733,products!$A$1:$A$49,0),MATCH(K$1,products!$A$1:$G$1,0))</f>
        <v>0.2</v>
      </c>
      <c r="L733" s="7">
        <f>INDEX(products!$A$1:$G$49,MATCH(orders!$D733,products!$A$1:$A$49,0),MATCH(L$1,products!$A$1:$G$1,0))</f>
        <v>3.8849999999999998</v>
      </c>
      <c r="M733" s="7">
        <f t="shared" si="33"/>
        <v>15.54</v>
      </c>
      <c r="N733" t="str">
        <f t="shared" si="34"/>
        <v>Liberica</v>
      </c>
      <c r="O733" t="str">
        <f t="shared" si="35"/>
        <v>Dark</v>
      </c>
      <c r="P733" t="str">
        <f>_xlfn.XLOOKUP(Table1[[#This Row],[Customer ID]],customers!$A$2:$A$1001,customers!$I$2:$I$1001,,0)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INDEX(products!$A$1:$G$49,MATCH(orders!$D734,products!$A$1:$A$49,0),MATCH(I$1,products!$A$1:$G$1,0))</f>
        <v>Exc</v>
      </c>
      <c r="J734" t="str">
        <f>INDEX(products!$A$1:$G$49,MATCH(orders!$D734,products!$A$1:$A$49,0),MATCH(J$1,products!$A$1:$G$1,0))</f>
        <v>L</v>
      </c>
      <c r="K734" s="6">
        <f>INDEX(products!$A$1:$G$49,MATCH(orders!$D734,products!$A$1:$A$49,0),MATCH(K$1,products!$A$1:$G$1,0))</f>
        <v>0.2</v>
      </c>
      <c r="L734" s="7">
        <f>INDEX(products!$A$1:$G$49,MATCH(orders!$D734,products!$A$1:$A$49,0),MATCH(L$1,products!$A$1:$G$1,0))</f>
        <v>4.4550000000000001</v>
      </c>
      <c r="M734" s="7">
        <f t="shared" si="33"/>
        <v>8.91</v>
      </c>
      <c r="N734" t="str">
        <f t="shared" si="34"/>
        <v>Excelsa</v>
      </c>
      <c r="O734" t="str">
        <f t="shared" si="35"/>
        <v>Light</v>
      </c>
      <c r="P734" t="str">
        <f>_xlfn.XLOOKUP(Table1[[#This Row],[Customer ID]],customers!$A$2:$A$1001,customers!$I$2:$I$1001,,0)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INDEX(products!$A$1:$G$49,MATCH(orders!$D735,products!$A$1:$A$49,0),MATCH(I$1,products!$A$1:$G$1,0))</f>
        <v>Lib</v>
      </c>
      <c r="J735" t="str">
        <f>INDEX(products!$A$1:$G$49,MATCH(orders!$D735,products!$A$1:$A$49,0),MATCH(J$1,products!$A$1:$G$1,0))</f>
        <v>M</v>
      </c>
      <c r="K735" s="6">
        <f>INDEX(products!$A$1:$G$49,MATCH(orders!$D735,products!$A$1:$A$49,0),MATCH(K$1,products!$A$1:$G$1,0))</f>
        <v>2.5</v>
      </c>
      <c r="L735" s="7">
        <f>INDEX(products!$A$1:$G$49,MATCH(orders!$D735,products!$A$1:$A$49,0),MATCH(L$1,products!$A$1:$G$1,0))</f>
        <v>33.464999999999996</v>
      </c>
      <c r="M735" s="7">
        <f t="shared" si="33"/>
        <v>100.39499999999998</v>
      </c>
      <c r="N735" t="str">
        <f t="shared" si="34"/>
        <v>Liberica</v>
      </c>
      <c r="O735" t="str">
        <f t="shared" si="35"/>
        <v>Medium</v>
      </c>
      <c r="P735" t="str">
        <f>_xlfn.XLOOKUP(Table1[[#This Row],[Customer ID]],customers!$A$2:$A$1001,customers!$I$2:$I$1001,,0)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INDEX(products!$A$1:$G$49,MATCH(orders!$D736,products!$A$1:$A$49,0),MATCH(I$1,products!$A$1:$G$1,0))</f>
        <v>Rob</v>
      </c>
      <c r="J736" t="str">
        <f>INDEX(products!$A$1:$G$49,MATCH(orders!$D736,products!$A$1:$A$49,0),MATCH(J$1,products!$A$1:$G$1,0))</f>
        <v>D</v>
      </c>
      <c r="K736" s="6">
        <f>INDEX(products!$A$1:$G$49,MATCH(orders!$D736,products!$A$1:$A$49,0),MATCH(K$1,products!$A$1:$G$1,0))</f>
        <v>0.2</v>
      </c>
      <c r="L736" s="7">
        <f>INDEX(products!$A$1:$G$49,MATCH(orders!$D736,products!$A$1:$A$49,0),MATCH(L$1,products!$A$1:$G$1,0))</f>
        <v>2.6849999999999996</v>
      </c>
      <c r="M736" s="7">
        <f t="shared" si="33"/>
        <v>13.424999999999997</v>
      </c>
      <c r="N736" t="str">
        <f t="shared" si="34"/>
        <v>Robusta</v>
      </c>
      <c r="O736" t="str">
        <f t="shared" si="35"/>
        <v>Dark</v>
      </c>
      <c r="P736" t="str">
        <f>_xlfn.XLOOKUP(Table1[[#This Row],[Customer ID]],customers!$A$2:$A$1001,customers!$I$2:$I$1001,,0)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INDEX(products!$A$1:$G$49,MATCH(orders!$D737,products!$A$1:$A$49,0),MATCH(I$1,products!$A$1:$G$1,0))</f>
        <v>Exc</v>
      </c>
      <c r="J737" t="str">
        <f>INDEX(products!$A$1:$G$49,MATCH(orders!$D737,products!$A$1:$A$49,0),MATCH(J$1,products!$A$1:$G$1,0))</f>
        <v>D</v>
      </c>
      <c r="K737" s="6">
        <f>INDEX(products!$A$1:$G$49,MATCH(orders!$D737,products!$A$1:$A$49,0),MATCH(K$1,products!$A$1:$G$1,0))</f>
        <v>0.2</v>
      </c>
      <c r="L737" s="7">
        <f>INDEX(products!$A$1:$G$49,MATCH(orders!$D737,products!$A$1:$A$49,0),MATCH(L$1,products!$A$1:$G$1,0))</f>
        <v>3.645</v>
      </c>
      <c r="M737" s="7">
        <f t="shared" si="33"/>
        <v>21.87</v>
      </c>
      <c r="N737" t="str">
        <f t="shared" si="34"/>
        <v>Excelsa</v>
      </c>
      <c r="O737" t="str">
        <f t="shared" si="35"/>
        <v>Dark</v>
      </c>
      <c r="P737" t="str">
        <f>_xlfn.XLOOKUP(Table1[[#This Row],[Customer ID]],customers!$A$2:$A$1001,customers!$I$2:$I$1001,,0)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INDEX(products!$A$1:$G$49,MATCH(orders!$D738,products!$A$1:$A$49,0),MATCH(I$1,products!$A$1:$G$1,0))</f>
        <v>Lib</v>
      </c>
      <c r="J738" t="str">
        <f>INDEX(products!$A$1:$G$49,MATCH(orders!$D738,products!$A$1:$A$49,0),MATCH(J$1,products!$A$1:$G$1,0))</f>
        <v>D</v>
      </c>
      <c r="K738" s="6">
        <f>INDEX(products!$A$1:$G$49,MATCH(orders!$D738,products!$A$1:$A$49,0),MATCH(K$1,products!$A$1:$G$1,0))</f>
        <v>1</v>
      </c>
      <c r="L738" s="7">
        <f>INDEX(products!$A$1:$G$49,MATCH(orders!$D738,products!$A$1:$A$49,0),MATCH(L$1,products!$A$1:$G$1,0))</f>
        <v>12.95</v>
      </c>
      <c r="M738" s="7">
        <f t="shared" si="33"/>
        <v>25.9</v>
      </c>
      <c r="N738" t="str">
        <f t="shared" si="34"/>
        <v>Liberica</v>
      </c>
      <c r="O738" t="str">
        <f t="shared" si="35"/>
        <v>Dark</v>
      </c>
      <c r="P738" t="str">
        <f>_xlfn.XLOOKUP(Table1[[#This Row],[Customer ID]],customers!$A$2:$A$1001,customers!$I$2:$I$1001,,0)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INDEX(products!$A$1:$G$49,MATCH(orders!$D739,products!$A$1:$A$49,0),MATCH(I$1,products!$A$1:$G$1,0))</f>
        <v>Ara</v>
      </c>
      <c r="J739" t="str">
        <f>INDEX(products!$A$1:$G$49,MATCH(orders!$D739,products!$A$1:$A$49,0),MATCH(J$1,products!$A$1:$G$1,0))</f>
        <v>M</v>
      </c>
      <c r="K739" s="6">
        <f>INDEX(products!$A$1:$G$49,MATCH(orders!$D739,products!$A$1:$A$49,0),MATCH(K$1,products!$A$1:$G$1,0))</f>
        <v>1</v>
      </c>
      <c r="L739" s="7">
        <f>INDEX(products!$A$1:$G$49,MATCH(orders!$D739,products!$A$1:$A$49,0),MATCH(L$1,products!$A$1:$G$1,0))</f>
        <v>11.25</v>
      </c>
      <c r="M739" s="7">
        <f t="shared" si="33"/>
        <v>56.25</v>
      </c>
      <c r="N739" t="str">
        <f t="shared" si="34"/>
        <v>Arabica</v>
      </c>
      <c r="O739" t="str">
        <f t="shared" si="35"/>
        <v>Medium</v>
      </c>
      <c r="P739" t="str">
        <f>_xlfn.XLOOKUP(Table1[[#This Row],[Customer ID]],customers!$A$2:$A$1001,customers!$I$2:$I$1001,,0)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INDEX(products!$A$1:$G$49,MATCH(orders!$D740,products!$A$1:$A$49,0),MATCH(I$1,products!$A$1:$G$1,0))</f>
        <v>Rob</v>
      </c>
      <c r="J740" t="str">
        <f>INDEX(products!$A$1:$G$49,MATCH(orders!$D740,products!$A$1:$A$49,0),MATCH(J$1,products!$A$1:$G$1,0))</f>
        <v>L</v>
      </c>
      <c r="K740" s="6">
        <f>INDEX(products!$A$1:$G$49,MATCH(orders!$D740,products!$A$1:$A$49,0),MATCH(K$1,products!$A$1:$G$1,0))</f>
        <v>0.2</v>
      </c>
      <c r="L740" s="7">
        <f>INDEX(products!$A$1:$G$49,MATCH(orders!$D740,products!$A$1:$A$49,0),MATCH(L$1,products!$A$1:$G$1,0))</f>
        <v>3.5849999999999995</v>
      </c>
      <c r="M740" s="7">
        <f t="shared" si="33"/>
        <v>10.754999999999999</v>
      </c>
      <c r="N740" t="str">
        <f t="shared" si="34"/>
        <v>Robusta</v>
      </c>
      <c r="O740" t="str">
        <f t="shared" si="35"/>
        <v>Light</v>
      </c>
      <c r="P740" t="str">
        <f>_xlfn.XLOOKUP(Table1[[#This Row],[Customer ID]],customers!$A$2:$A$1001,customers!$I$2:$I$1001,,0)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INDEX(products!$A$1:$G$49,MATCH(orders!$D741,products!$A$1:$A$49,0),MATCH(I$1,products!$A$1:$G$1,0))</f>
        <v>Exc</v>
      </c>
      <c r="J741" t="str">
        <f>INDEX(products!$A$1:$G$49,MATCH(orders!$D741,products!$A$1:$A$49,0),MATCH(J$1,products!$A$1:$G$1,0))</f>
        <v>D</v>
      </c>
      <c r="K741" s="6">
        <f>INDEX(products!$A$1:$G$49,MATCH(orders!$D741,products!$A$1:$A$49,0),MATCH(K$1,products!$A$1:$G$1,0))</f>
        <v>0.2</v>
      </c>
      <c r="L741" s="7">
        <f>INDEX(products!$A$1:$G$49,MATCH(orders!$D741,products!$A$1:$A$49,0),MATCH(L$1,products!$A$1:$G$1,0))</f>
        <v>3.645</v>
      </c>
      <c r="M741" s="7">
        <f t="shared" si="33"/>
        <v>18.225000000000001</v>
      </c>
      <c r="N741" t="str">
        <f t="shared" si="34"/>
        <v>Excelsa</v>
      </c>
      <c r="O741" t="str">
        <f t="shared" si="35"/>
        <v>Dark</v>
      </c>
      <c r="P741" t="str">
        <f>_xlfn.XLOOKUP(Table1[[#This Row],[Customer ID]],customers!$A$2:$A$1001,customers!$I$2:$I$1001,,0)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INDEX(products!$A$1:$G$49,MATCH(orders!$D742,products!$A$1:$A$49,0),MATCH(I$1,products!$A$1:$G$1,0))</f>
        <v>Rob</v>
      </c>
      <c r="J742" t="str">
        <f>INDEX(products!$A$1:$G$49,MATCH(orders!$D742,products!$A$1:$A$49,0),MATCH(J$1,products!$A$1:$G$1,0))</f>
        <v>L</v>
      </c>
      <c r="K742" s="6">
        <f>INDEX(products!$A$1:$G$49,MATCH(orders!$D742,products!$A$1:$A$49,0),MATCH(K$1,products!$A$1:$G$1,0))</f>
        <v>0.5</v>
      </c>
      <c r="L742" s="7">
        <f>INDEX(products!$A$1:$G$49,MATCH(orders!$D742,products!$A$1:$A$49,0),MATCH(L$1,products!$A$1:$G$1,0))</f>
        <v>7.169999999999999</v>
      </c>
      <c r="M742" s="7">
        <f t="shared" si="33"/>
        <v>28.679999999999996</v>
      </c>
      <c r="N742" t="str">
        <f t="shared" si="34"/>
        <v>Robusta</v>
      </c>
      <c r="O742" t="str">
        <f t="shared" si="35"/>
        <v>Light</v>
      </c>
      <c r="P742" t="str">
        <f>_xlfn.XLOOKUP(Table1[[#This Row],[Customer ID]],customers!$A$2:$A$1001,customers!$I$2:$I$1001,,0)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INDEX(products!$A$1:$G$49,MATCH(orders!$D743,products!$A$1:$A$49,0),MATCH(I$1,products!$A$1:$G$1,0))</f>
        <v>Lib</v>
      </c>
      <c r="J743" t="str">
        <f>INDEX(products!$A$1:$G$49,MATCH(orders!$D743,products!$A$1:$A$49,0),MATCH(J$1,products!$A$1:$G$1,0))</f>
        <v>M</v>
      </c>
      <c r="K743" s="6">
        <f>INDEX(products!$A$1:$G$49,MATCH(orders!$D743,products!$A$1:$A$49,0),MATCH(K$1,products!$A$1:$G$1,0))</f>
        <v>0.2</v>
      </c>
      <c r="L743" s="7">
        <f>INDEX(products!$A$1:$G$49,MATCH(orders!$D743,products!$A$1:$A$49,0),MATCH(L$1,products!$A$1:$G$1,0))</f>
        <v>4.3650000000000002</v>
      </c>
      <c r="M743" s="7">
        <f t="shared" si="33"/>
        <v>8.73</v>
      </c>
      <c r="N743" t="str">
        <f t="shared" si="34"/>
        <v>Liberica</v>
      </c>
      <c r="O743" t="str">
        <f t="shared" si="35"/>
        <v>Medium</v>
      </c>
      <c r="P743" t="str">
        <f>_xlfn.XLOOKUP(Table1[[#This Row],[Customer ID]],customers!$A$2:$A$1001,customers!$I$2:$I$1001,,0)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INDEX(products!$A$1:$G$49,MATCH(orders!$D744,products!$A$1:$A$49,0),MATCH(I$1,products!$A$1:$G$1,0))</f>
        <v>Lib</v>
      </c>
      <c r="J744" t="str">
        <f>INDEX(products!$A$1:$G$49,MATCH(orders!$D744,products!$A$1:$A$49,0),MATCH(J$1,products!$A$1:$G$1,0))</f>
        <v>M</v>
      </c>
      <c r="K744" s="6">
        <f>INDEX(products!$A$1:$G$49,MATCH(orders!$D744,products!$A$1:$A$49,0),MATCH(K$1,products!$A$1:$G$1,0))</f>
        <v>1</v>
      </c>
      <c r="L744" s="7">
        <f>INDEX(products!$A$1:$G$49,MATCH(orders!$D744,products!$A$1:$A$49,0),MATCH(L$1,products!$A$1:$G$1,0))</f>
        <v>14.55</v>
      </c>
      <c r="M744" s="7">
        <f t="shared" si="33"/>
        <v>58.2</v>
      </c>
      <c r="N744" t="str">
        <f t="shared" si="34"/>
        <v>Liberica</v>
      </c>
      <c r="O744" t="str">
        <f t="shared" si="35"/>
        <v>Medium</v>
      </c>
      <c r="P744" t="str">
        <f>_xlfn.XLOOKUP(Table1[[#This Row],[Customer ID]],customers!$A$2:$A$1001,customers!$I$2:$I$1001,,0)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INDEX(products!$A$1:$G$49,MATCH(orders!$D745,products!$A$1:$A$49,0),MATCH(I$1,products!$A$1:$G$1,0))</f>
        <v>Ara</v>
      </c>
      <c r="J745" t="str">
        <f>INDEX(products!$A$1:$G$49,MATCH(orders!$D745,products!$A$1:$A$49,0),MATCH(J$1,products!$A$1:$G$1,0))</f>
        <v>D</v>
      </c>
      <c r="K745" s="6">
        <f>INDEX(products!$A$1:$G$49,MATCH(orders!$D745,products!$A$1:$A$49,0),MATCH(K$1,products!$A$1:$G$1,0))</f>
        <v>0.5</v>
      </c>
      <c r="L745" s="7">
        <f>INDEX(products!$A$1:$G$49,MATCH(orders!$D745,products!$A$1:$A$49,0),MATCH(L$1,products!$A$1:$G$1,0))</f>
        <v>5.97</v>
      </c>
      <c r="M745" s="7">
        <f t="shared" si="33"/>
        <v>17.91</v>
      </c>
      <c r="N745" t="str">
        <f t="shared" si="34"/>
        <v>Arabica</v>
      </c>
      <c r="O745" t="str">
        <f t="shared" si="35"/>
        <v>Dark</v>
      </c>
      <c r="P745" t="str">
        <f>_xlfn.XLOOKUP(Table1[[#This Row],[Customer ID]],customers!$A$2:$A$1001,customers!$I$2:$I$1001,,0)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INDEX(products!$A$1:$G$49,MATCH(orders!$D746,products!$A$1:$A$49,0),MATCH(I$1,products!$A$1:$G$1,0))</f>
        <v>Rob</v>
      </c>
      <c r="J746" t="str">
        <f>INDEX(products!$A$1:$G$49,MATCH(orders!$D746,products!$A$1:$A$49,0),MATCH(J$1,products!$A$1:$G$1,0))</f>
        <v>M</v>
      </c>
      <c r="K746" s="6">
        <f>INDEX(products!$A$1:$G$49,MATCH(orders!$D746,products!$A$1:$A$49,0),MATCH(K$1,products!$A$1:$G$1,0))</f>
        <v>0.2</v>
      </c>
      <c r="L746" s="7">
        <f>INDEX(products!$A$1:$G$49,MATCH(orders!$D746,products!$A$1:$A$49,0),MATCH(L$1,products!$A$1:$G$1,0))</f>
        <v>2.9849999999999999</v>
      </c>
      <c r="M746" s="7">
        <f t="shared" si="33"/>
        <v>17.91</v>
      </c>
      <c r="N746" t="str">
        <f t="shared" si="34"/>
        <v>Robusta</v>
      </c>
      <c r="O746" t="str">
        <f t="shared" si="35"/>
        <v>Medium</v>
      </c>
      <c r="P746" t="str">
        <f>_xlfn.XLOOKUP(Table1[[#This Row],[Customer ID]],customers!$A$2:$A$1001,customers!$I$2:$I$1001,,0)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INDEX(products!$A$1:$G$49,MATCH(orders!$D747,products!$A$1:$A$49,0),MATCH(I$1,products!$A$1:$G$1,0))</f>
        <v>Exc</v>
      </c>
      <c r="J747" t="str">
        <f>INDEX(products!$A$1:$G$49,MATCH(orders!$D747,products!$A$1:$A$49,0),MATCH(J$1,products!$A$1:$G$1,0))</f>
        <v>D</v>
      </c>
      <c r="K747" s="6">
        <f>INDEX(products!$A$1:$G$49,MATCH(orders!$D747,products!$A$1:$A$49,0),MATCH(K$1,products!$A$1:$G$1,0))</f>
        <v>0.5</v>
      </c>
      <c r="L747" s="7">
        <f>INDEX(products!$A$1:$G$49,MATCH(orders!$D747,products!$A$1:$A$49,0),MATCH(L$1,products!$A$1:$G$1,0))</f>
        <v>7.29</v>
      </c>
      <c r="M747" s="7">
        <f t="shared" si="33"/>
        <v>14.58</v>
      </c>
      <c r="N747" t="str">
        <f t="shared" si="34"/>
        <v>Excelsa</v>
      </c>
      <c r="O747" t="str">
        <f t="shared" si="35"/>
        <v>Dark</v>
      </c>
      <c r="P747" t="str">
        <f>_xlfn.XLOOKUP(Table1[[#This Row],[Customer ID]],customers!$A$2:$A$1001,customers!$I$2:$I$1001,,0)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INDEX(products!$A$1:$G$49,MATCH(orders!$D748,products!$A$1:$A$49,0),MATCH(I$1,products!$A$1:$G$1,0))</f>
        <v>Ara</v>
      </c>
      <c r="J748" t="str">
        <f>INDEX(products!$A$1:$G$49,MATCH(orders!$D748,products!$A$1:$A$49,0),MATCH(J$1,products!$A$1:$G$1,0))</f>
        <v>M</v>
      </c>
      <c r="K748" s="6">
        <f>INDEX(products!$A$1:$G$49,MATCH(orders!$D748,products!$A$1:$A$49,0),MATCH(K$1,products!$A$1:$G$1,0))</f>
        <v>1</v>
      </c>
      <c r="L748" s="7">
        <f>INDEX(products!$A$1:$G$49,MATCH(orders!$D748,products!$A$1:$A$49,0),MATCH(L$1,products!$A$1:$G$1,0))</f>
        <v>11.25</v>
      </c>
      <c r="M748" s="7">
        <f t="shared" si="33"/>
        <v>33.75</v>
      </c>
      <c r="N748" t="str">
        <f t="shared" si="34"/>
        <v>Arabica</v>
      </c>
      <c r="O748" t="str">
        <f t="shared" si="35"/>
        <v>Medium</v>
      </c>
      <c r="P748" t="str">
        <f>_xlfn.XLOOKUP(Table1[[#This Row],[Customer ID]],customers!$A$2:$A$1001,customers!$I$2:$I$1001,,0)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INDEX(products!$A$1:$G$49,MATCH(orders!$D749,products!$A$1:$A$49,0),MATCH(I$1,products!$A$1:$G$1,0))</f>
        <v>Lib</v>
      </c>
      <c r="J749" t="str">
        <f>INDEX(products!$A$1:$G$49,MATCH(orders!$D749,products!$A$1:$A$49,0),MATCH(J$1,products!$A$1:$G$1,0))</f>
        <v>M</v>
      </c>
      <c r="K749" s="6">
        <f>INDEX(products!$A$1:$G$49,MATCH(orders!$D749,products!$A$1:$A$49,0),MATCH(K$1,products!$A$1:$G$1,0))</f>
        <v>0.5</v>
      </c>
      <c r="L749" s="7">
        <f>INDEX(products!$A$1:$G$49,MATCH(orders!$D749,products!$A$1:$A$49,0),MATCH(L$1,products!$A$1:$G$1,0))</f>
        <v>8.73</v>
      </c>
      <c r="M749" s="7">
        <f t="shared" si="33"/>
        <v>34.92</v>
      </c>
      <c r="N749" t="str">
        <f t="shared" si="34"/>
        <v>Liberica</v>
      </c>
      <c r="O749" t="str">
        <f t="shared" si="35"/>
        <v>Medium</v>
      </c>
      <c r="P749" t="str">
        <f>_xlfn.XLOOKUP(Table1[[#This Row],[Customer ID]],customers!$A$2:$A$1001,customers!$I$2:$I$1001,,0)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INDEX(products!$A$1:$G$49,MATCH(orders!$D750,products!$A$1:$A$49,0),MATCH(I$1,products!$A$1:$G$1,0))</f>
        <v>Exc</v>
      </c>
      <c r="J750" t="str">
        <f>INDEX(products!$A$1:$G$49,MATCH(orders!$D750,products!$A$1:$A$49,0),MATCH(J$1,products!$A$1:$G$1,0))</f>
        <v>D</v>
      </c>
      <c r="K750" s="6">
        <f>INDEX(products!$A$1:$G$49,MATCH(orders!$D750,products!$A$1:$A$49,0),MATCH(K$1,products!$A$1:$G$1,0))</f>
        <v>0.5</v>
      </c>
      <c r="L750" s="7">
        <f>INDEX(products!$A$1:$G$49,MATCH(orders!$D750,products!$A$1:$A$49,0),MATCH(L$1,products!$A$1:$G$1,0))</f>
        <v>7.29</v>
      </c>
      <c r="M750" s="7">
        <f t="shared" si="33"/>
        <v>14.58</v>
      </c>
      <c r="N750" t="str">
        <f t="shared" si="34"/>
        <v>Excelsa</v>
      </c>
      <c r="O750" t="str">
        <f t="shared" si="35"/>
        <v>Dark</v>
      </c>
      <c r="P750" t="str">
        <f>_xlfn.XLOOKUP(Table1[[#This Row],[Customer ID]],customers!$A$2:$A$1001,customers!$I$2:$I$1001,,0)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INDEX(products!$A$1:$G$49,MATCH(orders!$D751,products!$A$1:$A$49,0),MATCH(I$1,products!$A$1:$G$1,0))</f>
        <v>Rob</v>
      </c>
      <c r="J751" t="str">
        <f>INDEX(products!$A$1:$G$49,MATCH(orders!$D751,products!$A$1:$A$49,0),MATCH(J$1,products!$A$1:$G$1,0))</f>
        <v>D</v>
      </c>
      <c r="K751" s="6">
        <f>INDEX(products!$A$1:$G$49,MATCH(orders!$D751,products!$A$1:$A$49,0),MATCH(K$1,products!$A$1:$G$1,0))</f>
        <v>0.2</v>
      </c>
      <c r="L751" s="7">
        <f>INDEX(products!$A$1:$G$49,MATCH(orders!$D751,products!$A$1:$A$49,0),MATCH(L$1,products!$A$1:$G$1,0))</f>
        <v>2.6849999999999996</v>
      </c>
      <c r="M751" s="7">
        <f t="shared" si="33"/>
        <v>5.3699999999999992</v>
      </c>
      <c r="N751" t="str">
        <f t="shared" si="34"/>
        <v>Robusta</v>
      </c>
      <c r="O751" t="str">
        <f t="shared" si="35"/>
        <v>Dark</v>
      </c>
      <c r="P751" t="str">
        <f>_xlfn.XLOOKUP(Table1[[#This Row],[Customer ID]],customers!$A$2:$A$1001,customers!$I$2:$I$1001,,0)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INDEX(products!$A$1:$G$49,MATCH(orders!$D752,products!$A$1:$A$49,0),MATCH(I$1,products!$A$1:$G$1,0))</f>
        <v>Rob</v>
      </c>
      <c r="J752" t="str">
        <f>INDEX(products!$A$1:$G$49,MATCH(orders!$D752,products!$A$1:$A$49,0),MATCH(J$1,products!$A$1:$G$1,0))</f>
        <v>M</v>
      </c>
      <c r="K752" s="6">
        <f>INDEX(products!$A$1:$G$49,MATCH(orders!$D752,products!$A$1:$A$49,0),MATCH(K$1,products!$A$1:$G$1,0))</f>
        <v>0.5</v>
      </c>
      <c r="L752" s="7">
        <f>INDEX(products!$A$1:$G$49,MATCH(orders!$D752,products!$A$1:$A$49,0),MATCH(L$1,products!$A$1:$G$1,0))</f>
        <v>5.97</v>
      </c>
      <c r="M752" s="7">
        <f t="shared" si="33"/>
        <v>5.97</v>
      </c>
      <c r="N752" t="str">
        <f t="shared" si="34"/>
        <v>Robusta</v>
      </c>
      <c r="O752" t="str">
        <f t="shared" si="35"/>
        <v>Medium</v>
      </c>
      <c r="P752" t="str">
        <f>_xlfn.XLOOKUP(Table1[[#This Row],[Customer ID]],customers!$A$2:$A$1001,customers!$I$2:$I$1001,,0)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INDEX(products!$A$1:$G$49,MATCH(orders!$D753,products!$A$1:$A$49,0),MATCH(I$1,products!$A$1:$G$1,0))</f>
        <v>Lib</v>
      </c>
      <c r="J753" t="str">
        <f>INDEX(products!$A$1:$G$49,MATCH(orders!$D753,products!$A$1:$A$49,0),MATCH(J$1,products!$A$1:$G$1,0))</f>
        <v>L</v>
      </c>
      <c r="K753" s="6">
        <f>INDEX(products!$A$1:$G$49,MATCH(orders!$D753,products!$A$1:$A$49,0),MATCH(K$1,products!$A$1:$G$1,0))</f>
        <v>0.5</v>
      </c>
      <c r="L753" s="7">
        <f>INDEX(products!$A$1:$G$49,MATCH(orders!$D753,products!$A$1:$A$49,0),MATCH(L$1,products!$A$1:$G$1,0))</f>
        <v>9.51</v>
      </c>
      <c r="M753" s="7">
        <f t="shared" si="33"/>
        <v>19.02</v>
      </c>
      <c r="N753" t="str">
        <f t="shared" si="34"/>
        <v>Liberica</v>
      </c>
      <c r="O753" t="str">
        <f t="shared" si="35"/>
        <v>Light</v>
      </c>
      <c r="P753" t="str">
        <f>_xlfn.XLOOKUP(Table1[[#This Row],[Customer ID]],customers!$A$2:$A$1001,customers!$I$2:$I$1001,,0)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INDEX(products!$A$1:$G$49,MATCH(orders!$D754,products!$A$1:$A$49,0),MATCH(I$1,products!$A$1:$G$1,0))</f>
        <v>Exc</v>
      </c>
      <c r="J754" t="str">
        <f>INDEX(products!$A$1:$G$49,MATCH(orders!$D754,products!$A$1:$A$49,0),MATCH(J$1,products!$A$1:$G$1,0))</f>
        <v>M</v>
      </c>
      <c r="K754" s="6">
        <f>INDEX(products!$A$1:$G$49,MATCH(orders!$D754,products!$A$1:$A$49,0),MATCH(K$1,products!$A$1:$G$1,0))</f>
        <v>1</v>
      </c>
      <c r="L754" s="7">
        <f>INDEX(products!$A$1:$G$49,MATCH(orders!$D754,products!$A$1:$A$49,0),MATCH(L$1,products!$A$1:$G$1,0))</f>
        <v>13.75</v>
      </c>
      <c r="M754" s="7">
        <f t="shared" si="33"/>
        <v>27.5</v>
      </c>
      <c r="N754" t="str">
        <f t="shared" si="34"/>
        <v>Excelsa</v>
      </c>
      <c r="O754" t="str">
        <f t="shared" si="35"/>
        <v>Medium</v>
      </c>
      <c r="P754" t="str">
        <f>_xlfn.XLOOKUP(Table1[[#This Row],[Customer ID]],customers!$A$2:$A$1001,customers!$I$2:$I$1001,,0)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INDEX(products!$A$1:$G$49,MATCH(orders!$D755,products!$A$1:$A$49,0),MATCH(I$1,products!$A$1:$G$1,0))</f>
        <v>Ara</v>
      </c>
      <c r="J755" t="str">
        <f>INDEX(products!$A$1:$G$49,MATCH(orders!$D755,products!$A$1:$A$49,0),MATCH(J$1,products!$A$1:$G$1,0))</f>
        <v>D</v>
      </c>
      <c r="K755" s="6">
        <f>INDEX(products!$A$1:$G$49,MATCH(orders!$D755,products!$A$1:$A$49,0),MATCH(K$1,products!$A$1:$G$1,0))</f>
        <v>0.5</v>
      </c>
      <c r="L755" s="7">
        <f>INDEX(products!$A$1:$G$49,MATCH(orders!$D755,products!$A$1:$A$49,0),MATCH(L$1,products!$A$1:$G$1,0))</f>
        <v>5.97</v>
      </c>
      <c r="M755" s="7">
        <f t="shared" si="33"/>
        <v>29.849999999999998</v>
      </c>
      <c r="N755" t="str">
        <f t="shared" si="34"/>
        <v>Arabica</v>
      </c>
      <c r="O755" t="str">
        <f t="shared" si="35"/>
        <v>Dark</v>
      </c>
      <c r="P755" t="str">
        <f>_xlfn.XLOOKUP(Table1[[#This Row],[Customer ID]],customers!$A$2:$A$1001,customers!$I$2:$I$1001,,0)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INDEX(products!$A$1:$G$49,MATCH(orders!$D756,products!$A$1:$A$49,0),MATCH(I$1,products!$A$1:$G$1,0))</f>
        <v>Ara</v>
      </c>
      <c r="J756" t="str">
        <f>INDEX(products!$A$1:$G$49,MATCH(orders!$D756,products!$A$1:$A$49,0),MATCH(J$1,products!$A$1:$G$1,0))</f>
        <v>D</v>
      </c>
      <c r="K756" s="6">
        <f>INDEX(products!$A$1:$G$49,MATCH(orders!$D756,products!$A$1:$A$49,0),MATCH(K$1,products!$A$1:$G$1,0))</f>
        <v>0.2</v>
      </c>
      <c r="L756" s="7">
        <f>INDEX(products!$A$1:$G$49,MATCH(orders!$D756,products!$A$1:$A$49,0),MATCH(L$1,products!$A$1:$G$1,0))</f>
        <v>2.9849999999999999</v>
      </c>
      <c r="M756" s="7">
        <f t="shared" si="33"/>
        <v>17.91</v>
      </c>
      <c r="N756" t="str">
        <f t="shared" si="34"/>
        <v>Arabica</v>
      </c>
      <c r="O756" t="str">
        <f t="shared" si="35"/>
        <v>Dark</v>
      </c>
      <c r="P756" t="str">
        <f>_xlfn.XLOOKUP(Table1[[#This Row],[Customer ID]],customers!$A$2:$A$1001,customers!$I$2:$I$1001,,0)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INDEX(products!$A$1:$G$49,MATCH(orders!$D757,products!$A$1:$A$49,0),MATCH(I$1,products!$A$1:$G$1,0))</f>
        <v>Lib</v>
      </c>
      <c r="J757" t="str">
        <f>INDEX(products!$A$1:$G$49,MATCH(orders!$D757,products!$A$1:$A$49,0),MATCH(J$1,products!$A$1:$G$1,0))</f>
        <v>L</v>
      </c>
      <c r="K757" s="6">
        <f>INDEX(products!$A$1:$G$49,MATCH(orders!$D757,products!$A$1:$A$49,0),MATCH(K$1,products!$A$1:$G$1,0))</f>
        <v>0.2</v>
      </c>
      <c r="L757" s="7">
        <f>INDEX(products!$A$1:$G$49,MATCH(orders!$D757,products!$A$1:$A$49,0),MATCH(L$1,products!$A$1:$G$1,0))</f>
        <v>4.7549999999999999</v>
      </c>
      <c r="M757" s="7">
        <f t="shared" si="33"/>
        <v>28.53</v>
      </c>
      <c r="N757" t="str">
        <f t="shared" si="34"/>
        <v>Liberica</v>
      </c>
      <c r="O757" t="str">
        <f t="shared" si="35"/>
        <v>Light</v>
      </c>
      <c r="P757" t="str">
        <f>_xlfn.XLOOKUP(Table1[[#This Row],[Customer ID]],customers!$A$2:$A$1001,customers!$I$2:$I$1001,,0)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INDEX(products!$A$1:$G$49,MATCH(orders!$D758,products!$A$1:$A$49,0),MATCH(I$1,products!$A$1:$G$1,0))</f>
        <v>Rob</v>
      </c>
      <c r="J758" t="str">
        <f>INDEX(products!$A$1:$G$49,MATCH(orders!$D758,products!$A$1:$A$49,0),MATCH(J$1,products!$A$1:$G$1,0))</f>
        <v>D</v>
      </c>
      <c r="K758" s="6">
        <f>INDEX(products!$A$1:$G$49,MATCH(orders!$D758,products!$A$1:$A$49,0),MATCH(K$1,products!$A$1:$G$1,0))</f>
        <v>1</v>
      </c>
      <c r="L758" s="7">
        <f>INDEX(products!$A$1:$G$49,MATCH(orders!$D758,products!$A$1:$A$49,0),MATCH(L$1,products!$A$1:$G$1,0))</f>
        <v>8.9499999999999993</v>
      </c>
      <c r="M758" s="7">
        <f t="shared" si="33"/>
        <v>35.799999999999997</v>
      </c>
      <c r="N758" t="str">
        <f t="shared" si="34"/>
        <v>Robusta</v>
      </c>
      <c r="O758" t="str">
        <f t="shared" si="35"/>
        <v>Dark</v>
      </c>
      <c r="P758" t="str">
        <f>_xlfn.XLOOKUP(Table1[[#This Row],[Customer ID]],customers!$A$2:$A$1001,customers!$I$2:$I$1001,,0)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INDEX(products!$A$1:$G$49,MATCH(orders!$D759,products!$A$1:$A$49,0),MATCH(I$1,products!$A$1:$G$1,0))</f>
        <v>Ara</v>
      </c>
      <c r="J759" t="str">
        <f>INDEX(products!$A$1:$G$49,MATCH(orders!$D759,products!$A$1:$A$49,0),MATCH(J$1,products!$A$1:$G$1,0))</f>
        <v>D</v>
      </c>
      <c r="K759" s="6">
        <f>INDEX(products!$A$1:$G$49,MATCH(orders!$D759,products!$A$1:$A$49,0),MATCH(K$1,products!$A$1:$G$1,0))</f>
        <v>0.5</v>
      </c>
      <c r="L759" s="7">
        <f>INDEX(products!$A$1:$G$49,MATCH(orders!$D759,products!$A$1:$A$49,0),MATCH(L$1,products!$A$1:$G$1,0))</f>
        <v>5.97</v>
      </c>
      <c r="M759" s="7">
        <f t="shared" si="33"/>
        <v>17.91</v>
      </c>
      <c r="N759" t="str">
        <f t="shared" si="34"/>
        <v>Arabica</v>
      </c>
      <c r="O759" t="str">
        <f t="shared" si="35"/>
        <v>Dark</v>
      </c>
      <c r="P759" t="str">
        <f>_xlfn.XLOOKUP(Table1[[#This Row],[Customer ID]],customers!$A$2:$A$1001,customers!$I$2:$I$1001,,0)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INDEX(products!$A$1:$G$49,MATCH(orders!$D760,products!$A$1:$A$49,0),MATCH(I$1,products!$A$1:$G$1,0))</f>
        <v>Rob</v>
      </c>
      <c r="J760" t="str">
        <f>INDEX(products!$A$1:$G$49,MATCH(orders!$D760,products!$A$1:$A$49,0),MATCH(J$1,products!$A$1:$G$1,0))</f>
        <v>D</v>
      </c>
      <c r="K760" s="6">
        <f>INDEX(products!$A$1:$G$49,MATCH(orders!$D760,products!$A$1:$A$49,0),MATCH(K$1,products!$A$1:$G$1,0))</f>
        <v>1</v>
      </c>
      <c r="L760" s="7">
        <f>INDEX(products!$A$1:$G$49,MATCH(orders!$D760,products!$A$1:$A$49,0),MATCH(L$1,products!$A$1:$G$1,0))</f>
        <v>8.9499999999999993</v>
      </c>
      <c r="M760" s="7">
        <f t="shared" si="33"/>
        <v>8.9499999999999993</v>
      </c>
      <c r="N760" t="str">
        <f t="shared" si="34"/>
        <v>Robusta</v>
      </c>
      <c r="O760" t="str">
        <f t="shared" si="35"/>
        <v>Dark</v>
      </c>
      <c r="P760" t="str">
        <f>_xlfn.XLOOKUP(Table1[[#This Row],[Customer ID]],customers!$A$2:$A$1001,customers!$I$2:$I$1001,,0)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INDEX(products!$A$1:$G$49,MATCH(orders!$D761,products!$A$1:$A$49,0),MATCH(I$1,products!$A$1:$G$1,0))</f>
        <v>Lib</v>
      </c>
      <c r="J761" t="str">
        <f>INDEX(products!$A$1:$G$49,MATCH(orders!$D761,products!$A$1:$A$49,0),MATCH(J$1,products!$A$1:$G$1,0))</f>
        <v>D</v>
      </c>
      <c r="K761" s="6">
        <f>INDEX(products!$A$1:$G$49,MATCH(orders!$D761,products!$A$1:$A$49,0),MATCH(K$1,products!$A$1:$G$1,0))</f>
        <v>2.5</v>
      </c>
      <c r="L761" s="7">
        <f>INDEX(products!$A$1:$G$49,MATCH(orders!$D761,products!$A$1:$A$49,0),MATCH(L$1,products!$A$1:$G$1,0))</f>
        <v>29.784999999999997</v>
      </c>
      <c r="M761" s="7">
        <f t="shared" si="33"/>
        <v>29.784999999999997</v>
      </c>
      <c r="N761" t="str">
        <f t="shared" si="34"/>
        <v>Liberica</v>
      </c>
      <c r="O761" t="str">
        <f t="shared" si="35"/>
        <v>Dark</v>
      </c>
      <c r="P761" t="str">
        <f>_xlfn.XLOOKUP(Table1[[#This Row],[Customer ID]],customers!$A$2:$A$1001,customers!$I$2:$I$1001,,0)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INDEX(products!$A$1:$G$49,MATCH(orders!$D762,products!$A$1:$A$49,0),MATCH(I$1,products!$A$1:$G$1,0))</f>
        <v>Exc</v>
      </c>
      <c r="J762" t="str">
        <f>INDEX(products!$A$1:$G$49,MATCH(orders!$D762,products!$A$1:$A$49,0),MATCH(J$1,products!$A$1:$G$1,0))</f>
        <v>L</v>
      </c>
      <c r="K762" s="6">
        <f>INDEX(products!$A$1:$G$49,MATCH(orders!$D762,products!$A$1:$A$49,0),MATCH(K$1,products!$A$1:$G$1,0))</f>
        <v>0.5</v>
      </c>
      <c r="L762" s="7">
        <f>INDEX(products!$A$1:$G$49,MATCH(orders!$D762,products!$A$1:$A$49,0),MATCH(L$1,products!$A$1:$G$1,0))</f>
        <v>8.91</v>
      </c>
      <c r="M762" s="7">
        <f t="shared" si="33"/>
        <v>44.55</v>
      </c>
      <c r="N762" t="str">
        <f t="shared" si="34"/>
        <v>Excelsa</v>
      </c>
      <c r="O762" t="str">
        <f t="shared" si="35"/>
        <v>Light</v>
      </c>
      <c r="P762" t="str">
        <f>_xlfn.XLOOKUP(Table1[[#This Row],[Customer ID]],customers!$A$2:$A$1001,customers!$I$2:$I$1001,,0)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INDEX(products!$A$1:$G$49,MATCH(orders!$D763,products!$A$1:$A$49,0),MATCH(I$1,products!$A$1:$G$1,0))</f>
        <v>Exc</v>
      </c>
      <c r="J763" t="str">
        <f>INDEX(products!$A$1:$G$49,MATCH(orders!$D763,products!$A$1:$A$49,0),MATCH(J$1,products!$A$1:$G$1,0))</f>
        <v>L</v>
      </c>
      <c r="K763" s="6">
        <f>INDEX(products!$A$1:$G$49,MATCH(orders!$D763,products!$A$1:$A$49,0),MATCH(K$1,products!$A$1:$G$1,0))</f>
        <v>1</v>
      </c>
      <c r="L763" s="7">
        <f>INDEX(products!$A$1:$G$49,MATCH(orders!$D763,products!$A$1:$A$49,0),MATCH(L$1,products!$A$1:$G$1,0))</f>
        <v>14.85</v>
      </c>
      <c r="M763" s="7">
        <f t="shared" si="33"/>
        <v>89.1</v>
      </c>
      <c r="N763" t="str">
        <f t="shared" si="34"/>
        <v>Excelsa</v>
      </c>
      <c r="O763" t="str">
        <f t="shared" si="35"/>
        <v>Light</v>
      </c>
      <c r="P763" t="str">
        <f>_xlfn.XLOOKUP(Table1[[#This Row],[Customer ID]],customers!$A$2:$A$1001,customers!$I$2:$I$1001,,0)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INDEX(products!$A$1:$G$49,MATCH(orders!$D764,products!$A$1:$A$49,0),MATCH(I$1,products!$A$1:$G$1,0))</f>
        <v>Lib</v>
      </c>
      <c r="J764" t="str">
        <f>INDEX(products!$A$1:$G$49,MATCH(orders!$D764,products!$A$1:$A$49,0),MATCH(J$1,products!$A$1:$G$1,0))</f>
        <v>M</v>
      </c>
      <c r="K764" s="6">
        <f>INDEX(products!$A$1:$G$49,MATCH(orders!$D764,products!$A$1:$A$49,0),MATCH(K$1,products!$A$1:$G$1,0))</f>
        <v>0.5</v>
      </c>
      <c r="L764" s="7">
        <f>INDEX(products!$A$1:$G$49,MATCH(orders!$D764,products!$A$1:$A$49,0),MATCH(L$1,products!$A$1:$G$1,0))</f>
        <v>8.73</v>
      </c>
      <c r="M764" s="7">
        <f t="shared" si="33"/>
        <v>43.650000000000006</v>
      </c>
      <c r="N764" t="str">
        <f t="shared" si="34"/>
        <v>Liberica</v>
      </c>
      <c r="O764" t="str">
        <f t="shared" si="35"/>
        <v>Medium</v>
      </c>
      <c r="P764" t="str">
        <f>_xlfn.XLOOKUP(Table1[[#This Row],[Customer ID]],customers!$A$2:$A$1001,customers!$I$2:$I$1001,,0)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INDEX(products!$A$1:$G$49,MATCH(orders!$D765,products!$A$1:$A$49,0),MATCH(I$1,products!$A$1:$G$1,0))</f>
        <v>Ara</v>
      </c>
      <c r="J765" t="str">
        <f>INDEX(products!$A$1:$G$49,MATCH(orders!$D765,products!$A$1:$A$49,0),MATCH(J$1,products!$A$1:$G$1,0))</f>
        <v>L</v>
      </c>
      <c r="K765" s="6">
        <f>INDEX(products!$A$1:$G$49,MATCH(orders!$D765,products!$A$1:$A$49,0),MATCH(K$1,products!$A$1:$G$1,0))</f>
        <v>0.5</v>
      </c>
      <c r="L765" s="7">
        <f>INDEX(products!$A$1:$G$49,MATCH(orders!$D765,products!$A$1:$A$49,0),MATCH(L$1,products!$A$1:$G$1,0))</f>
        <v>7.77</v>
      </c>
      <c r="M765" s="7">
        <f t="shared" si="33"/>
        <v>23.31</v>
      </c>
      <c r="N765" t="str">
        <f t="shared" si="34"/>
        <v>Arabica</v>
      </c>
      <c r="O765" t="str">
        <f t="shared" si="35"/>
        <v>Light</v>
      </c>
      <c r="P765" t="str">
        <f>_xlfn.XLOOKUP(Table1[[#This Row],[Customer ID]],customers!$A$2:$A$1001,customers!$I$2:$I$1001,,0)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INDEX(products!$A$1:$G$49,MATCH(orders!$D766,products!$A$1:$A$49,0),MATCH(I$1,products!$A$1:$G$1,0))</f>
        <v>Ara</v>
      </c>
      <c r="J766" t="str">
        <f>INDEX(products!$A$1:$G$49,MATCH(orders!$D766,products!$A$1:$A$49,0),MATCH(J$1,products!$A$1:$G$1,0))</f>
        <v>L</v>
      </c>
      <c r="K766" s="6">
        <f>INDEX(products!$A$1:$G$49,MATCH(orders!$D766,products!$A$1:$A$49,0),MATCH(K$1,products!$A$1:$G$1,0))</f>
        <v>2.5</v>
      </c>
      <c r="L766" s="7">
        <f>INDEX(products!$A$1:$G$49,MATCH(orders!$D766,products!$A$1:$A$49,0),MATCH(L$1,products!$A$1:$G$1,0))</f>
        <v>29.784999999999997</v>
      </c>
      <c r="M766" s="7">
        <f t="shared" si="33"/>
        <v>178.70999999999998</v>
      </c>
      <c r="N766" t="str">
        <f t="shared" si="34"/>
        <v>Arabica</v>
      </c>
      <c r="O766" t="str">
        <f t="shared" si="35"/>
        <v>Light</v>
      </c>
      <c r="P766" t="str">
        <f>_xlfn.XLOOKUP(Table1[[#This Row],[Customer ID]],customers!$A$2:$A$1001,customers!$I$2:$I$1001,,0)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INDEX(products!$A$1:$G$49,MATCH(orders!$D767,products!$A$1:$A$49,0),MATCH(I$1,products!$A$1:$G$1,0))</f>
        <v>Rob</v>
      </c>
      <c r="J767" t="str">
        <f>INDEX(products!$A$1:$G$49,MATCH(orders!$D767,products!$A$1:$A$49,0),MATCH(J$1,products!$A$1:$G$1,0))</f>
        <v>M</v>
      </c>
      <c r="K767" s="6">
        <f>INDEX(products!$A$1:$G$49,MATCH(orders!$D767,products!$A$1:$A$49,0),MATCH(K$1,products!$A$1:$G$1,0))</f>
        <v>1</v>
      </c>
      <c r="L767" s="7">
        <f>INDEX(products!$A$1:$G$49,MATCH(orders!$D767,products!$A$1:$A$49,0),MATCH(L$1,products!$A$1:$G$1,0))</f>
        <v>9.9499999999999993</v>
      </c>
      <c r="M767" s="7">
        <f t="shared" si="33"/>
        <v>59.699999999999996</v>
      </c>
      <c r="N767" t="str">
        <f t="shared" si="34"/>
        <v>Robusta</v>
      </c>
      <c r="O767" t="str">
        <f t="shared" si="35"/>
        <v>Medium</v>
      </c>
      <c r="P767" t="str">
        <f>_xlfn.XLOOKUP(Table1[[#This Row],[Customer ID]],customers!$A$2:$A$1001,customers!$I$2:$I$1001,,0)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INDEX(products!$A$1:$G$49,MATCH(orders!$D768,products!$A$1:$A$49,0),MATCH(I$1,products!$A$1:$G$1,0))</f>
        <v>Ara</v>
      </c>
      <c r="J768" t="str">
        <f>INDEX(products!$A$1:$G$49,MATCH(orders!$D768,products!$A$1:$A$49,0),MATCH(J$1,products!$A$1:$G$1,0))</f>
        <v>L</v>
      </c>
      <c r="K768" s="6">
        <f>INDEX(products!$A$1:$G$49,MATCH(orders!$D768,products!$A$1:$A$49,0),MATCH(K$1,products!$A$1:$G$1,0))</f>
        <v>0.5</v>
      </c>
      <c r="L768" s="7">
        <f>INDEX(products!$A$1:$G$49,MATCH(orders!$D768,products!$A$1:$A$49,0),MATCH(L$1,products!$A$1:$G$1,0))</f>
        <v>7.77</v>
      </c>
      <c r="M768" s="7">
        <f t="shared" si="33"/>
        <v>15.54</v>
      </c>
      <c r="N768" t="str">
        <f t="shared" si="34"/>
        <v>Arabica</v>
      </c>
      <c r="O768" t="str">
        <f t="shared" si="35"/>
        <v>Light</v>
      </c>
      <c r="P768" t="str">
        <f>_xlfn.XLOOKUP(Table1[[#This Row],[Customer ID]],customers!$A$2:$A$1001,customers!$I$2:$I$1001,,0)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INDEX(products!$A$1:$G$49,MATCH(orders!$D769,products!$A$1:$A$49,0),MATCH(I$1,products!$A$1:$G$1,0))</f>
        <v>Ara</v>
      </c>
      <c r="J769" t="str">
        <f>INDEX(products!$A$1:$G$49,MATCH(orders!$D769,products!$A$1:$A$49,0),MATCH(J$1,products!$A$1:$G$1,0))</f>
        <v>L</v>
      </c>
      <c r="K769" s="6">
        <f>INDEX(products!$A$1:$G$49,MATCH(orders!$D769,products!$A$1:$A$49,0),MATCH(K$1,products!$A$1:$G$1,0))</f>
        <v>2.5</v>
      </c>
      <c r="L769" s="7">
        <f>INDEX(products!$A$1:$G$49,MATCH(orders!$D769,products!$A$1:$A$49,0),MATCH(L$1,products!$A$1:$G$1,0))</f>
        <v>29.784999999999997</v>
      </c>
      <c r="M769" s="7">
        <f t="shared" si="33"/>
        <v>89.35499999999999</v>
      </c>
      <c r="N769" t="str">
        <f t="shared" si="34"/>
        <v>Arabica</v>
      </c>
      <c r="O769" t="str">
        <f t="shared" si="35"/>
        <v>Light</v>
      </c>
      <c r="P769" t="str">
        <f>_xlfn.XLOOKUP(Table1[[#This Row],[Customer ID]],customers!$A$2:$A$1001,customers!$I$2:$I$1001,,0)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INDEX(products!$A$1:$G$49,MATCH(orders!$D770,products!$A$1:$A$49,0),MATCH(I$1,products!$A$1:$G$1,0))</f>
        <v>Rob</v>
      </c>
      <c r="J770" t="str">
        <f>INDEX(products!$A$1:$G$49,MATCH(orders!$D770,products!$A$1:$A$49,0),MATCH(J$1,products!$A$1:$G$1,0))</f>
        <v>L</v>
      </c>
      <c r="K770" s="6">
        <f>INDEX(products!$A$1:$G$49,MATCH(orders!$D770,products!$A$1:$A$49,0),MATCH(K$1,products!$A$1:$G$1,0))</f>
        <v>1</v>
      </c>
      <c r="L770" s="7">
        <f>INDEX(products!$A$1:$G$49,MATCH(orders!$D770,products!$A$1:$A$49,0),MATCH(L$1,products!$A$1:$G$1,0))</f>
        <v>11.95</v>
      </c>
      <c r="M770" s="7">
        <f t="shared" si="33"/>
        <v>23.9</v>
      </c>
      <c r="N770" t="str">
        <f t="shared" si="34"/>
        <v>Robusta</v>
      </c>
      <c r="O770" t="str">
        <f t="shared" si="35"/>
        <v>Light</v>
      </c>
      <c r="P770" t="str">
        <f>_xlfn.XLOOKUP(Table1[[#This Row],[Customer ID]],customers!$A$2:$A$1001,customers!$I$2:$I$1001,,0)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INDEX(products!$A$1:$G$49,MATCH(orders!$D771,products!$A$1:$A$49,0),MATCH(I$1,products!$A$1:$G$1,0))</f>
        <v>Rob</v>
      </c>
      <c r="J771" t="str">
        <f>INDEX(products!$A$1:$G$49,MATCH(orders!$D771,products!$A$1:$A$49,0),MATCH(J$1,products!$A$1:$G$1,0))</f>
        <v>M</v>
      </c>
      <c r="K771" s="6">
        <f>INDEX(products!$A$1:$G$49,MATCH(orders!$D771,products!$A$1:$A$49,0),MATCH(K$1,products!$A$1:$G$1,0))</f>
        <v>2.5</v>
      </c>
      <c r="L771" s="7">
        <f>INDEX(products!$A$1:$G$49,MATCH(orders!$D771,products!$A$1:$A$49,0),MATCH(L$1,products!$A$1:$G$1,0))</f>
        <v>22.884999999999998</v>
      </c>
      <c r="M771" s="7">
        <f t="shared" ref="M771:M834" si="36">L771*E771</f>
        <v>137.31</v>
      </c>
      <c r="N771" t="str">
        <f t="shared" ref="N771:N834" si="37">IF(I771="Rob","Robusta",IF(I771="Exc","Excelsa",IF(I771="Ara","Arabica",IF(I771="Lib","Liberica",""))))</f>
        <v>Robusta</v>
      </c>
      <c r="O771" t="str">
        <f t="shared" ref="O771:O834" si="38">IF(J771="M","Medium",IF(J771="L","Light",IF(J771="D","Dark","")))</f>
        <v>Medium</v>
      </c>
      <c r="P771" t="str">
        <f>_xlfn.XLOOKUP(Table1[[#This Row],[Customer ID]],customers!$A$2:$A$1001,customers!$I$2:$I$1001,,0)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INDEX(products!$A$1:$G$49,MATCH(orders!$D772,products!$A$1:$A$49,0),MATCH(I$1,products!$A$1:$G$1,0))</f>
        <v>Ara</v>
      </c>
      <c r="J772" t="str">
        <f>INDEX(products!$A$1:$G$49,MATCH(orders!$D772,products!$A$1:$A$49,0),MATCH(J$1,products!$A$1:$G$1,0))</f>
        <v>D</v>
      </c>
      <c r="K772" s="6">
        <f>INDEX(products!$A$1:$G$49,MATCH(orders!$D772,products!$A$1:$A$49,0),MATCH(K$1,products!$A$1:$G$1,0))</f>
        <v>1</v>
      </c>
      <c r="L772" s="7">
        <f>INDEX(products!$A$1:$G$49,MATCH(orders!$D772,products!$A$1:$A$49,0),MATCH(L$1,products!$A$1:$G$1,0))</f>
        <v>9.9499999999999993</v>
      </c>
      <c r="M772" s="7">
        <f t="shared" si="36"/>
        <v>9.9499999999999993</v>
      </c>
      <c r="N772" t="str">
        <f t="shared" si="37"/>
        <v>Arabica</v>
      </c>
      <c r="O772" t="str">
        <f t="shared" si="38"/>
        <v>Dark</v>
      </c>
      <c r="P772" t="str">
        <f>_xlfn.XLOOKUP(Table1[[#This Row],[Customer ID]],customers!$A$2:$A$1001,customers!$I$2:$I$1001,,0)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INDEX(products!$A$1:$G$49,MATCH(orders!$D773,products!$A$1:$A$49,0),MATCH(I$1,products!$A$1:$G$1,0))</f>
        <v>Rob</v>
      </c>
      <c r="J773" t="str">
        <f>INDEX(products!$A$1:$G$49,MATCH(orders!$D773,products!$A$1:$A$49,0),MATCH(J$1,products!$A$1:$G$1,0))</f>
        <v>L</v>
      </c>
      <c r="K773" s="6">
        <f>INDEX(products!$A$1:$G$49,MATCH(orders!$D773,products!$A$1:$A$49,0),MATCH(K$1,products!$A$1:$G$1,0))</f>
        <v>0.5</v>
      </c>
      <c r="L773" s="7">
        <f>INDEX(products!$A$1:$G$49,MATCH(orders!$D773,products!$A$1:$A$49,0),MATCH(L$1,products!$A$1:$G$1,0))</f>
        <v>7.169999999999999</v>
      </c>
      <c r="M773" s="7">
        <f t="shared" si="36"/>
        <v>21.509999999999998</v>
      </c>
      <c r="N773" t="str">
        <f t="shared" si="37"/>
        <v>Robusta</v>
      </c>
      <c r="O773" t="str">
        <f t="shared" si="38"/>
        <v>Light</v>
      </c>
      <c r="P773" t="str">
        <f>_xlfn.XLOOKUP(Table1[[#This Row],[Customer ID]],customers!$A$2:$A$1001,customers!$I$2:$I$1001,,0)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INDEX(products!$A$1:$G$49,MATCH(orders!$D774,products!$A$1:$A$49,0),MATCH(I$1,products!$A$1:$G$1,0))</f>
        <v>Exc</v>
      </c>
      <c r="J774" t="str">
        <f>INDEX(products!$A$1:$G$49,MATCH(orders!$D774,products!$A$1:$A$49,0),MATCH(J$1,products!$A$1:$G$1,0))</f>
        <v>M</v>
      </c>
      <c r="K774" s="6">
        <f>INDEX(products!$A$1:$G$49,MATCH(orders!$D774,products!$A$1:$A$49,0),MATCH(K$1,products!$A$1:$G$1,0))</f>
        <v>1</v>
      </c>
      <c r="L774" s="7">
        <f>INDEX(products!$A$1:$G$49,MATCH(orders!$D774,products!$A$1:$A$49,0),MATCH(L$1,products!$A$1:$G$1,0))</f>
        <v>13.75</v>
      </c>
      <c r="M774" s="7">
        <f t="shared" si="36"/>
        <v>82.5</v>
      </c>
      <c r="N774" t="str">
        <f t="shared" si="37"/>
        <v>Excelsa</v>
      </c>
      <c r="O774" t="str">
        <f t="shared" si="38"/>
        <v>Medium</v>
      </c>
      <c r="P774" t="str">
        <f>_xlfn.XLOOKUP(Table1[[#This Row],[Customer ID]],customers!$A$2:$A$1001,customers!$I$2:$I$1001,,0)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INDEX(products!$A$1:$G$49,MATCH(orders!$D775,products!$A$1:$A$49,0),MATCH(I$1,products!$A$1:$G$1,0))</f>
        <v>Lib</v>
      </c>
      <c r="J775" t="str">
        <f>INDEX(products!$A$1:$G$49,MATCH(orders!$D775,products!$A$1:$A$49,0),MATCH(J$1,products!$A$1:$G$1,0))</f>
        <v>M</v>
      </c>
      <c r="K775" s="6">
        <f>INDEX(products!$A$1:$G$49,MATCH(orders!$D775,products!$A$1:$A$49,0),MATCH(K$1,products!$A$1:$G$1,0))</f>
        <v>0.2</v>
      </c>
      <c r="L775" s="7">
        <f>INDEX(products!$A$1:$G$49,MATCH(orders!$D775,products!$A$1:$A$49,0),MATCH(L$1,products!$A$1:$G$1,0))</f>
        <v>4.3650000000000002</v>
      </c>
      <c r="M775" s="7">
        <f t="shared" si="36"/>
        <v>8.73</v>
      </c>
      <c r="N775" t="str">
        <f t="shared" si="37"/>
        <v>Liberica</v>
      </c>
      <c r="O775" t="str">
        <f t="shared" si="38"/>
        <v>Medium</v>
      </c>
      <c r="P775" t="str">
        <f>_xlfn.XLOOKUP(Table1[[#This Row],[Customer ID]],customers!$A$2:$A$1001,customers!$I$2:$I$1001,,0)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INDEX(products!$A$1:$G$49,MATCH(orders!$D776,products!$A$1:$A$49,0),MATCH(I$1,products!$A$1:$G$1,0))</f>
        <v>Rob</v>
      </c>
      <c r="J776" t="str">
        <f>INDEX(products!$A$1:$G$49,MATCH(orders!$D776,products!$A$1:$A$49,0),MATCH(J$1,products!$A$1:$G$1,0))</f>
        <v>M</v>
      </c>
      <c r="K776" s="6">
        <f>INDEX(products!$A$1:$G$49,MATCH(orders!$D776,products!$A$1:$A$49,0),MATCH(K$1,products!$A$1:$G$1,0))</f>
        <v>1</v>
      </c>
      <c r="L776" s="7">
        <f>INDEX(products!$A$1:$G$49,MATCH(orders!$D776,products!$A$1:$A$49,0),MATCH(L$1,products!$A$1:$G$1,0))</f>
        <v>9.9499999999999993</v>
      </c>
      <c r="M776" s="7">
        <f t="shared" si="36"/>
        <v>19.899999999999999</v>
      </c>
      <c r="N776" t="str">
        <f t="shared" si="37"/>
        <v>Robusta</v>
      </c>
      <c r="O776" t="str">
        <f t="shared" si="38"/>
        <v>Medium</v>
      </c>
      <c r="P776" t="str">
        <f>_xlfn.XLOOKUP(Table1[[#This Row],[Customer ID]],customers!$A$2:$A$1001,customers!$I$2:$I$1001,,0)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INDEX(products!$A$1:$G$49,MATCH(orders!$D777,products!$A$1:$A$49,0),MATCH(I$1,products!$A$1:$G$1,0))</f>
        <v>Exc</v>
      </c>
      <c r="J777" t="str">
        <f>INDEX(products!$A$1:$G$49,MATCH(orders!$D777,products!$A$1:$A$49,0),MATCH(J$1,products!$A$1:$G$1,0))</f>
        <v>L</v>
      </c>
      <c r="K777" s="6">
        <f>INDEX(products!$A$1:$G$49,MATCH(orders!$D777,products!$A$1:$A$49,0),MATCH(K$1,products!$A$1:$G$1,0))</f>
        <v>0.5</v>
      </c>
      <c r="L777" s="7">
        <f>INDEX(products!$A$1:$G$49,MATCH(orders!$D777,products!$A$1:$A$49,0),MATCH(L$1,products!$A$1:$G$1,0))</f>
        <v>8.91</v>
      </c>
      <c r="M777" s="7">
        <f t="shared" si="36"/>
        <v>17.82</v>
      </c>
      <c r="N777" t="str">
        <f t="shared" si="37"/>
        <v>Excelsa</v>
      </c>
      <c r="O777" t="str">
        <f t="shared" si="38"/>
        <v>Light</v>
      </c>
      <c r="P777" t="str">
        <f>_xlfn.XLOOKUP(Table1[[#This Row],[Customer ID]],customers!$A$2:$A$1001,customers!$I$2:$I$1001,,0)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INDEX(products!$A$1:$G$49,MATCH(orders!$D778,products!$A$1:$A$49,0),MATCH(I$1,products!$A$1:$G$1,0))</f>
        <v>Ara</v>
      </c>
      <c r="J778" t="str">
        <f>INDEX(products!$A$1:$G$49,MATCH(orders!$D778,products!$A$1:$A$49,0),MATCH(J$1,products!$A$1:$G$1,0))</f>
        <v>M</v>
      </c>
      <c r="K778" s="6">
        <f>INDEX(products!$A$1:$G$49,MATCH(orders!$D778,products!$A$1:$A$49,0),MATCH(K$1,products!$A$1:$G$1,0))</f>
        <v>0.5</v>
      </c>
      <c r="L778" s="7">
        <f>INDEX(products!$A$1:$G$49,MATCH(orders!$D778,products!$A$1:$A$49,0),MATCH(L$1,products!$A$1:$G$1,0))</f>
        <v>6.75</v>
      </c>
      <c r="M778" s="7">
        <f t="shared" si="36"/>
        <v>20.25</v>
      </c>
      <c r="N778" t="str">
        <f t="shared" si="37"/>
        <v>Arabica</v>
      </c>
      <c r="O778" t="str">
        <f t="shared" si="38"/>
        <v>Medium</v>
      </c>
      <c r="P778" t="str">
        <f>_xlfn.XLOOKUP(Table1[[#This Row],[Customer ID]],customers!$A$2:$A$1001,customers!$I$2:$I$1001,,0)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INDEX(products!$A$1:$G$49,MATCH(orders!$D779,products!$A$1:$A$49,0),MATCH(I$1,products!$A$1:$G$1,0))</f>
        <v>Ara</v>
      </c>
      <c r="J779" t="str">
        <f>INDEX(products!$A$1:$G$49,MATCH(orders!$D779,products!$A$1:$A$49,0),MATCH(J$1,products!$A$1:$G$1,0))</f>
        <v>L</v>
      </c>
      <c r="K779" s="6">
        <f>INDEX(products!$A$1:$G$49,MATCH(orders!$D779,products!$A$1:$A$49,0),MATCH(K$1,products!$A$1:$G$1,0))</f>
        <v>2.5</v>
      </c>
      <c r="L779" s="7">
        <f>INDEX(products!$A$1:$G$49,MATCH(orders!$D779,products!$A$1:$A$49,0),MATCH(L$1,products!$A$1:$G$1,0))</f>
        <v>29.784999999999997</v>
      </c>
      <c r="M779" s="7">
        <f t="shared" si="36"/>
        <v>59.569999999999993</v>
      </c>
      <c r="N779" t="str">
        <f t="shared" si="37"/>
        <v>Arabica</v>
      </c>
      <c r="O779" t="str">
        <f t="shared" si="38"/>
        <v>Light</v>
      </c>
      <c r="P779" t="str">
        <f>_xlfn.XLOOKUP(Table1[[#This Row],[Customer ID]],customers!$A$2:$A$1001,customers!$I$2:$I$1001,,0)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INDEX(products!$A$1:$G$49,MATCH(orders!$D780,products!$A$1:$A$49,0),MATCH(I$1,products!$A$1:$G$1,0))</f>
        <v>Lib</v>
      </c>
      <c r="J780" t="str">
        <f>INDEX(products!$A$1:$G$49,MATCH(orders!$D780,products!$A$1:$A$49,0),MATCH(J$1,products!$A$1:$G$1,0))</f>
        <v>L</v>
      </c>
      <c r="K780" s="6">
        <f>INDEX(products!$A$1:$G$49,MATCH(orders!$D780,products!$A$1:$A$49,0),MATCH(K$1,products!$A$1:$G$1,0))</f>
        <v>0.5</v>
      </c>
      <c r="L780" s="7">
        <f>INDEX(products!$A$1:$G$49,MATCH(orders!$D780,products!$A$1:$A$49,0),MATCH(L$1,products!$A$1:$G$1,0))</f>
        <v>9.51</v>
      </c>
      <c r="M780" s="7">
        <f t="shared" si="36"/>
        <v>19.02</v>
      </c>
      <c r="N780" t="str">
        <f t="shared" si="37"/>
        <v>Liberica</v>
      </c>
      <c r="O780" t="str">
        <f t="shared" si="38"/>
        <v>Light</v>
      </c>
      <c r="P780" t="str">
        <f>_xlfn.XLOOKUP(Table1[[#This Row],[Customer ID]],customers!$A$2:$A$1001,customers!$I$2:$I$1001,,0)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INDEX(products!$A$1:$G$49,MATCH(orders!$D781,products!$A$1:$A$49,0),MATCH(I$1,products!$A$1:$G$1,0))</f>
        <v>Lib</v>
      </c>
      <c r="J781" t="str">
        <f>INDEX(products!$A$1:$G$49,MATCH(orders!$D781,products!$A$1:$A$49,0),MATCH(J$1,products!$A$1:$G$1,0))</f>
        <v>D</v>
      </c>
      <c r="K781" s="6">
        <f>INDEX(products!$A$1:$G$49,MATCH(orders!$D781,products!$A$1:$A$49,0),MATCH(K$1,products!$A$1:$G$1,0))</f>
        <v>1</v>
      </c>
      <c r="L781" s="7">
        <f>INDEX(products!$A$1:$G$49,MATCH(orders!$D781,products!$A$1:$A$49,0),MATCH(L$1,products!$A$1:$G$1,0))</f>
        <v>12.95</v>
      </c>
      <c r="M781" s="7">
        <f t="shared" si="36"/>
        <v>77.699999999999989</v>
      </c>
      <c r="N781" t="str">
        <f t="shared" si="37"/>
        <v>Liberica</v>
      </c>
      <c r="O781" t="str">
        <f t="shared" si="38"/>
        <v>Dark</v>
      </c>
      <c r="P781" t="str">
        <f>_xlfn.XLOOKUP(Table1[[#This Row],[Customer ID]],customers!$A$2:$A$1001,customers!$I$2:$I$1001,,0)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INDEX(products!$A$1:$G$49,MATCH(orders!$D782,products!$A$1:$A$49,0),MATCH(I$1,products!$A$1:$G$1,0))</f>
        <v>Exc</v>
      </c>
      <c r="J782" t="str">
        <f>INDEX(products!$A$1:$G$49,MATCH(orders!$D782,products!$A$1:$A$49,0),MATCH(J$1,products!$A$1:$G$1,0))</f>
        <v>M</v>
      </c>
      <c r="K782" s="6">
        <f>INDEX(products!$A$1:$G$49,MATCH(orders!$D782,products!$A$1:$A$49,0),MATCH(K$1,products!$A$1:$G$1,0))</f>
        <v>1</v>
      </c>
      <c r="L782" s="7">
        <f>INDEX(products!$A$1:$G$49,MATCH(orders!$D782,products!$A$1:$A$49,0),MATCH(L$1,products!$A$1:$G$1,0))</f>
        <v>13.75</v>
      </c>
      <c r="M782" s="7">
        <f t="shared" si="36"/>
        <v>41.25</v>
      </c>
      <c r="N782" t="str">
        <f t="shared" si="37"/>
        <v>Excelsa</v>
      </c>
      <c r="O782" t="str">
        <f t="shared" si="38"/>
        <v>Medium</v>
      </c>
      <c r="P782" t="str">
        <f>_xlfn.XLOOKUP(Table1[[#This Row],[Customer ID]],customers!$A$2:$A$1001,customers!$I$2:$I$1001,,0)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INDEX(products!$A$1:$G$49,MATCH(orders!$D783,products!$A$1:$A$49,0),MATCH(I$1,products!$A$1:$G$1,0))</f>
        <v>Lib</v>
      </c>
      <c r="J783" t="str">
        <f>INDEX(products!$A$1:$G$49,MATCH(orders!$D783,products!$A$1:$A$49,0),MATCH(J$1,products!$A$1:$G$1,0))</f>
        <v>L</v>
      </c>
      <c r="K783" s="6">
        <f>INDEX(products!$A$1:$G$49,MATCH(orders!$D783,products!$A$1:$A$49,0),MATCH(K$1,products!$A$1:$G$1,0))</f>
        <v>2.5</v>
      </c>
      <c r="L783" s="7">
        <f>INDEX(products!$A$1:$G$49,MATCH(orders!$D783,products!$A$1:$A$49,0),MATCH(L$1,products!$A$1:$G$1,0))</f>
        <v>36.454999999999998</v>
      </c>
      <c r="M783" s="7">
        <f t="shared" si="36"/>
        <v>145.82</v>
      </c>
      <c r="N783" t="str">
        <f t="shared" si="37"/>
        <v>Liberica</v>
      </c>
      <c r="O783" t="str">
        <f t="shared" si="38"/>
        <v>Light</v>
      </c>
      <c r="P783" t="str">
        <f>_xlfn.XLOOKUP(Table1[[#This Row],[Customer ID]],customers!$A$2:$A$1001,customers!$I$2:$I$1001,,0)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INDEX(products!$A$1:$G$49,MATCH(orders!$D784,products!$A$1:$A$49,0),MATCH(I$1,products!$A$1:$G$1,0))</f>
        <v>Exc</v>
      </c>
      <c r="J784" t="str">
        <f>INDEX(products!$A$1:$G$49,MATCH(orders!$D784,products!$A$1:$A$49,0),MATCH(J$1,products!$A$1:$G$1,0))</f>
        <v>L</v>
      </c>
      <c r="K784" s="6">
        <f>INDEX(products!$A$1:$G$49,MATCH(orders!$D784,products!$A$1:$A$49,0),MATCH(K$1,products!$A$1:$G$1,0))</f>
        <v>0.2</v>
      </c>
      <c r="L784" s="7">
        <f>INDEX(products!$A$1:$G$49,MATCH(orders!$D784,products!$A$1:$A$49,0),MATCH(L$1,products!$A$1:$G$1,0))</f>
        <v>4.4550000000000001</v>
      </c>
      <c r="M784" s="7">
        <f t="shared" si="36"/>
        <v>26.73</v>
      </c>
      <c r="N784" t="str">
        <f t="shared" si="37"/>
        <v>Excelsa</v>
      </c>
      <c r="O784" t="str">
        <f t="shared" si="38"/>
        <v>Light</v>
      </c>
      <c r="P784" t="str">
        <f>_xlfn.XLOOKUP(Table1[[#This Row],[Customer ID]],customers!$A$2:$A$1001,customers!$I$2:$I$1001,,0)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INDEX(products!$A$1:$G$49,MATCH(orders!$D785,products!$A$1:$A$49,0),MATCH(I$1,products!$A$1:$G$1,0))</f>
        <v>Lib</v>
      </c>
      <c r="J785" t="str">
        <f>INDEX(products!$A$1:$G$49,MATCH(orders!$D785,products!$A$1:$A$49,0),MATCH(J$1,products!$A$1:$G$1,0))</f>
        <v>M</v>
      </c>
      <c r="K785" s="6">
        <f>INDEX(products!$A$1:$G$49,MATCH(orders!$D785,products!$A$1:$A$49,0),MATCH(K$1,products!$A$1:$G$1,0))</f>
        <v>0.5</v>
      </c>
      <c r="L785" s="7">
        <f>INDEX(products!$A$1:$G$49,MATCH(orders!$D785,products!$A$1:$A$49,0),MATCH(L$1,products!$A$1:$G$1,0))</f>
        <v>8.73</v>
      </c>
      <c r="M785" s="7">
        <f t="shared" si="36"/>
        <v>43.650000000000006</v>
      </c>
      <c r="N785" t="str">
        <f t="shared" si="37"/>
        <v>Liberica</v>
      </c>
      <c r="O785" t="str">
        <f t="shared" si="38"/>
        <v>Medium</v>
      </c>
      <c r="P785" t="str">
        <f>_xlfn.XLOOKUP(Table1[[#This Row],[Customer ID]],customers!$A$2:$A$1001,customers!$I$2:$I$1001,,0)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INDEX(products!$A$1:$G$49,MATCH(orders!$D786,products!$A$1:$A$49,0),MATCH(I$1,products!$A$1:$G$1,0))</f>
        <v>Lib</v>
      </c>
      <c r="J786" t="str">
        <f>INDEX(products!$A$1:$G$49,MATCH(orders!$D786,products!$A$1:$A$49,0),MATCH(J$1,products!$A$1:$G$1,0))</f>
        <v>L</v>
      </c>
      <c r="K786" s="6">
        <f>INDEX(products!$A$1:$G$49,MATCH(orders!$D786,products!$A$1:$A$49,0),MATCH(K$1,products!$A$1:$G$1,0))</f>
        <v>1</v>
      </c>
      <c r="L786" s="7">
        <f>INDEX(products!$A$1:$G$49,MATCH(orders!$D786,products!$A$1:$A$49,0),MATCH(L$1,products!$A$1:$G$1,0))</f>
        <v>15.85</v>
      </c>
      <c r="M786" s="7">
        <f t="shared" si="36"/>
        <v>31.7</v>
      </c>
      <c r="N786" t="str">
        <f t="shared" si="37"/>
        <v>Liberica</v>
      </c>
      <c r="O786" t="str">
        <f t="shared" si="38"/>
        <v>Light</v>
      </c>
      <c r="P786" t="str">
        <f>_xlfn.XLOOKUP(Table1[[#This Row],[Customer ID]],customers!$A$2:$A$1001,customers!$I$2:$I$1001,,0)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INDEX(products!$A$1:$G$49,MATCH(orders!$D787,products!$A$1:$A$49,0),MATCH(I$1,products!$A$1:$G$1,0))</f>
        <v>Ara</v>
      </c>
      <c r="J787" t="str">
        <f>INDEX(products!$A$1:$G$49,MATCH(orders!$D787,products!$A$1:$A$49,0),MATCH(J$1,products!$A$1:$G$1,0))</f>
        <v>D</v>
      </c>
      <c r="K787" s="6">
        <f>INDEX(products!$A$1:$G$49,MATCH(orders!$D787,products!$A$1:$A$49,0),MATCH(K$1,products!$A$1:$G$1,0))</f>
        <v>2.5</v>
      </c>
      <c r="L787" s="7">
        <f>INDEX(products!$A$1:$G$49,MATCH(orders!$D787,products!$A$1:$A$49,0),MATCH(L$1,products!$A$1:$G$1,0))</f>
        <v>22.884999999999998</v>
      </c>
      <c r="M787" s="7">
        <f t="shared" si="36"/>
        <v>22.884999999999998</v>
      </c>
      <c r="N787" t="str">
        <f t="shared" si="37"/>
        <v>Arabica</v>
      </c>
      <c r="O787" t="str">
        <f t="shared" si="38"/>
        <v>Dark</v>
      </c>
      <c r="P787" t="str">
        <f>_xlfn.XLOOKUP(Table1[[#This Row],[Customer ID]],customers!$A$2:$A$1001,customers!$I$2:$I$1001,,0)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INDEX(products!$A$1:$G$49,MATCH(orders!$D788,products!$A$1:$A$49,0),MATCH(I$1,products!$A$1:$G$1,0))</f>
        <v>Exc</v>
      </c>
      <c r="J788" t="str">
        <f>INDEX(products!$A$1:$G$49,MATCH(orders!$D788,products!$A$1:$A$49,0),MATCH(J$1,products!$A$1:$G$1,0))</f>
        <v>D</v>
      </c>
      <c r="K788" s="6">
        <f>INDEX(products!$A$1:$G$49,MATCH(orders!$D788,products!$A$1:$A$49,0),MATCH(K$1,products!$A$1:$G$1,0))</f>
        <v>2.5</v>
      </c>
      <c r="L788" s="7">
        <f>INDEX(products!$A$1:$G$49,MATCH(orders!$D788,products!$A$1:$A$49,0),MATCH(L$1,products!$A$1:$G$1,0))</f>
        <v>27.945</v>
      </c>
      <c r="M788" s="7">
        <f t="shared" si="36"/>
        <v>27.945</v>
      </c>
      <c r="N788" t="str">
        <f t="shared" si="37"/>
        <v>Excelsa</v>
      </c>
      <c r="O788" t="str">
        <f t="shared" si="38"/>
        <v>Dark</v>
      </c>
      <c r="P788" t="str">
        <f>_xlfn.XLOOKUP(Table1[[#This Row],[Customer ID]],customers!$A$2:$A$1001,customers!$I$2:$I$1001,,0)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INDEX(products!$A$1:$G$49,MATCH(orders!$D789,products!$A$1:$A$49,0),MATCH(I$1,products!$A$1:$G$1,0))</f>
        <v>Exc</v>
      </c>
      <c r="J789" t="str">
        <f>INDEX(products!$A$1:$G$49,MATCH(orders!$D789,products!$A$1:$A$49,0),MATCH(J$1,products!$A$1:$G$1,0))</f>
        <v>M</v>
      </c>
      <c r="K789" s="6">
        <f>INDEX(products!$A$1:$G$49,MATCH(orders!$D789,products!$A$1:$A$49,0),MATCH(K$1,products!$A$1:$G$1,0))</f>
        <v>1</v>
      </c>
      <c r="L789" s="7">
        <f>INDEX(products!$A$1:$G$49,MATCH(orders!$D789,products!$A$1:$A$49,0),MATCH(L$1,products!$A$1:$G$1,0))</f>
        <v>13.75</v>
      </c>
      <c r="M789" s="7">
        <f t="shared" si="36"/>
        <v>82.5</v>
      </c>
      <c r="N789" t="str">
        <f t="shared" si="37"/>
        <v>Excelsa</v>
      </c>
      <c r="O789" t="str">
        <f t="shared" si="38"/>
        <v>Medium</v>
      </c>
      <c r="P789" t="str">
        <f>_xlfn.XLOOKUP(Table1[[#This Row],[Customer ID]],customers!$A$2:$A$1001,customers!$I$2:$I$1001,,0)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INDEX(products!$A$1:$G$49,MATCH(orders!$D790,products!$A$1:$A$49,0),MATCH(I$1,products!$A$1:$G$1,0))</f>
        <v>Rob</v>
      </c>
      <c r="J790" t="str">
        <f>INDEX(products!$A$1:$G$49,MATCH(orders!$D790,products!$A$1:$A$49,0),MATCH(J$1,products!$A$1:$G$1,0))</f>
        <v>M</v>
      </c>
      <c r="K790" s="6">
        <f>INDEX(products!$A$1:$G$49,MATCH(orders!$D790,products!$A$1:$A$49,0),MATCH(K$1,products!$A$1:$G$1,0))</f>
        <v>2.5</v>
      </c>
      <c r="L790" s="7">
        <f>INDEX(products!$A$1:$G$49,MATCH(orders!$D790,products!$A$1:$A$49,0),MATCH(L$1,products!$A$1:$G$1,0))</f>
        <v>22.884999999999998</v>
      </c>
      <c r="M790" s="7">
        <f t="shared" si="36"/>
        <v>45.769999999999996</v>
      </c>
      <c r="N790" t="str">
        <f t="shared" si="37"/>
        <v>Robusta</v>
      </c>
      <c r="O790" t="str">
        <f t="shared" si="38"/>
        <v>Medium</v>
      </c>
      <c r="P790" t="str">
        <f>_xlfn.XLOOKUP(Table1[[#This Row],[Customer ID]],customers!$A$2:$A$1001,customers!$I$2:$I$1001,,0)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INDEX(products!$A$1:$G$49,MATCH(orders!$D791,products!$A$1:$A$49,0),MATCH(I$1,products!$A$1:$G$1,0))</f>
        <v>Ara</v>
      </c>
      <c r="J791" t="str">
        <f>INDEX(products!$A$1:$G$49,MATCH(orders!$D791,products!$A$1:$A$49,0),MATCH(J$1,products!$A$1:$G$1,0))</f>
        <v>L</v>
      </c>
      <c r="K791" s="6">
        <f>INDEX(products!$A$1:$G$49,MATCH(orders!$D791,products!$A$1:$A$49,0),MATCH(K$1,products!$A$1:$G$1,0))</f>
        <v>1</v>
      </c>
      <c r="L791" s="7">
        <f>INDEX(products!$A$1:$G$49,MATCH(orders!$D791,products!$A$1:$A$49,0),MATCH(L$1,products!$A$1:$G$1,0))</f>
        <v>12.95</v>
      </c>
      <c r="M791" s="7">
        <f t="shared" si="36"/>
        <v>77.699999999999989</v>
      </c>
      <c r="N791" t="str">
        <f t="shared" si="37"/>
        <v>Arabica</v>
      </c>
      <c r="O791" t="str">
        <f t="shared" si="38"/>
        <v>Light</v>
      </c>
      <c r="P791" t="str">
        <f>_xlfn.XLOOKUP(Table1[[#This Row],[Customer ID]],customers!$A$2:$A$1001,customers!$I$2:$I$1001,,0)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INDEX(products!$A$1:$G$49,MATCH(orders!$D792,products!$A$1:$A$49,0),MATCH(I$1,products!$A$1:$G$1,0))</f>
        <v>Ara</v>
      </c>
      <c r="J792" t="str">
        <f>INDEX(products!$A$1:$G$49,MATCH(orders!$D792,products!$A$1:$A$49,0),MATCH(J$1,products!$A$1:$G$1,0))</f>
        <v>L</v>
      </c>
      <c r="K792" s="6">
        <f>INDEX(products!$A$1:$G$49,MATCH(orders!$D792,products!$A$1:$A$49,0),MATCH(K$1,products!$A$1:$G$1,0))</f>
        <v>0.5</v>
      </c>
      <c r="L792" s="7">
        <f>INDEX(products!$A$1:$G$49,MATCH(orders!$D792,products!$A$1:$A$49,0),MATCH(L$1,products!$A$1:$G$1,0))</f>
        <v>7.77</v>
      </c>
      <c r="M792" s="7">
        <f t="shared" si="36"/>
        <v>23.31</v>
      </c>
      <c r="N792" t="str">
        <f t="shared" si="37"/>
        <v>Arabica</v>
      </c>
      <c r="O792" t="str">
        <f t="shared" si="38"/>
        <v>Light</v>
      </c>
      <c r="P792" t="str">
        <f>_xlfn.XLOOKUP(Table1[[#This Row],[Customer ID]],customers!$A$2:$A$1001,customers!$I$2:$I$1001,,0)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INDEX(products!$A$1:$G$49,MATCH(orders!$D793,products!$A$1:$A$49,0),MATCH(I$1,products!$A$1:$G$1,0))</f>
        <v>Lib</v>
      </c>
      <c r="J793" t="str">
        <f>INDEX(products!$A$1:$G$49,MATCH(orders!$D793,products!$A$1:$A$49,0),MATCH(J$1,products!$A$1:$G$1,0))</f>
        <v>L</v>
      </c>
      <c r="K793" s="6">
        <f>INDEX(products!$A$1:$G$49,MATCH(orders!$D793,products!$A$1:$A$49,0),MATCH(K$1,products!$A$1:$G$1,0))</f>
        <v>0.2</v>
      </c>
      <c r="L793" s="7">
        <f>INDEX(products!$A$1:$G$49,MATCH(orders!$D793,products!$A$1:$A$49,0),MATCH(L$1,products!$A$1:$G$1,0))</f>
        <v>4.7549999999999999</v>
      </c>
      <c r="M793" s="7">
        <f t="shared" si="36"/>
        <v>23.774999999999999</v>
      </c>
      <c r="N793" t="str">
        <f t="shared" si="37"/>
        <v>Liberica</v>
      </c>
      <c r="O793" t="str">
        <f t="shared" si="38"/>
        <v>Light</v>
      </c>
      <c r="P793" t="str">
        <f>_xlfn.XLOOKUP(Table1[[#This Row],[Customer ID]],customers!$A$2:$A$1001,customers!$I$2:$I$1001,,0)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INDEX(products!$A$1:$G$49,MATCH(orders!$D794,products!$A$1:$A$49,0),MATCH(I$1,products!$A$1:$G$1,0))</f>
        <v>Lib</v>
      </c>
      <c r="J794" t="str">
        <f>INDEX(products!$A$1:$G$49,MATCH(orders!$D794,products!$A$1:$A$49,0),MATCH(J$1,products!$A$1:$G$1,0))</f>
        <v>M</v>
      </c>
      <c r="K794" s="6">
        <f>INDEX(products!$A$1:$G$49,MATCH(orders!$D794,products!$A$1:$A$49,0),MATCH(K$1,products!$A$1:$G$1,0))</f>
        <v>0.5</v>
      </c>
      <c r="L794" s="7">
        <f>INDEX(products!$A$1:$G$49,MATCH(orders!$D794,products!$A$1:$A$49,0),MATCH(L$1,products!$A$1:$G$1,0))</f>
        <v>8.73</v>
      </c>
      <c r="M794" s="7">
        <f t="shared" si="36"/>
        <v>52.38</v>
      </c>
      <c r="N794" t="str">
        <f t="shared" si="37"/>
        <v>Liberica</v>
      </c>
      <c r="O794" t="str">
        <f t="shared" si="38"/>
        <v>Medium</v>
      </c>
      <c r="P794" t="str">
        <f>_xlfn.XLOOKUP(Table1[[#This Row],[Customer ID]],customers!$A$2:$A$1001,customers!$I$2:$I$1001,,0)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INDEX(products!$A$1:$G$49,MATCH(orders!$D795,products!$A$1:$A$49,0),MATCH(I$1,products!$A$1:$G$1,0))</f>
        <v>Rob</v>
      </c>
      <c r="J795" t="str">
        <f>INDEX(products!$A$1:$G$49,MATCH(orders!$D795,products!$A$1:$A$49,0),MATCH(J$1,products!$A$1:$G$1,0))</f>
        <v>L</v>
      </c>
      <c r="K795" s="6">
        <f>INDEX(products!$A$1:$G$49,MATCH(orders!$D795,products!$A$1:$A$49,0),MATCH(K$1,products!$A$1:$G$1,0))</f>
        <v>0.2</v>
      </c>
      <c r="L795" s="7">
        <f>INDEX(products!$A$1:$G$49,MATCH(orders!$D795,products!$A$1:$A$49,0),MATCH(L$1,products!$A$1:$G$1,0))</f>
        <v>3.5849999999999995</v>
      </c>
      <c r="M795" s="7">
        <f t="shared" si="36"/>
        <v>17.924999999999997</v>
      </c>
      <c r="N795" t="str">
        <f t="shared" si="37"/>
        <v>Robusta</v>
      </c>
      <c r="O795" t="str">
        <f t="shared" si="38"/>
        <v>Light</v>
      </c>
      <c r="P795" t="str">
        <f>_xlfn.XLOOKUP(Table1[[#This Row],[Customer ID]],customers!$A$2:$A$1001,customers!$I$2:$I$1001,,0)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INDEX(products!$A$1:$G$49,MATCH(orders!$D796,products!$A$1:$A$49,0),MATCH(I$1,products!$A$1:$G$1,0))</f>
        <v>Ara</v>
      </c>
      <c r="J796" t="str">
        <f>INDEX(products!$A$1:$G$49,MATCH(orders!$D796,products!$A$1:$A$49,0),MATCH(J$1,products!$A$1:$G$1,0))</f>
        <v>L</v>
      </c>
      <c r="K796" s="6">
        <f>INDEX(products!$A$1:$G$49,MATCH(orders!$D796,products!$A$1:$A$49,0),MATCH(K$1,products!$A$1:$G$1,0))</f>
        <v>2.5</v>
      </c>
      <c r="L796" s="7">
        <f>INDEX(products!$A$1:$G$49,MATCH(orders!$D796,products!$A$1:$A$49,0),MATCH(L$1,products!$A$1:$G$1,0))</f>
        <v>29.784999999999997</v>
      </c>
      <c r="M796" s="7">
        <f t="shared" si="36"/>
        <v>148.92499999999998</v>
      </c>
      <c r="N796" t="str">
        <f t="shared" si="37"/>
        <v>Arabica</v>
      </c>
      <c r="O796" t="str">
        <f t="shared" si="38"/>
        <v>Light</v>
      </c>
      <c r="P796" t="str">
        <f>_xlfn.XLOOKUP(Table1[[#This Row],[Customer ID]],customers!$A$2:$A$1001,customers!$I$2:$I$1001,,0)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INDEX(products!$A$1:$G$49,MATCH(orders!$D797,products!$A$1:$A$49,0),MATCH(I$1,products!$A$1:$G$1,0))</f>
        <v>Rob</v>
      </c>
      <c r="J797" t="str">
        <f>INDEX(products!$A$1:$G$49,MATCH(orders!$D797,products!$A$1:$A$49,0),MATCH(J$1,products!$A$1:$G$1,0))</f>
        <v>L</v>
      </c>
      <c r="K797" s="6">
        <f>INDEX(products!$A$1:$G$49,MATCH(orders!$D797,products!$A$1:$A$49,0),MATCH(K$1,products!$A$1:$G$1,0))</f>
        <v>0.5</v>
      </c>
      <c r="L797" s="7">
        <f>INDEX(products!$A$1:$G$49,MATCH(orders!$D797,products!$A$1:$A$49,0),MATCH(L$1,products!$A$1:$G$1,0))</f>
        <v>7.169999999999999</v>
      </c>
      <c r="M797" s="7">
        <f t="shared" si="36"/>
        <v>28.679999999999996</v>
      </c>
      <c r="N797" t="str">
        <f t="shared" si="37"/>
        <v>Robusta</v>
      </c>
      <c r="O797" t="str">
        <f t="shared" si="38"/>
        <v>Light</v>
      </c>
      <c r="P797" t="str">
        <f>_xlfn.XLOOKUP(Table1[[#This Row],[Customer ID]],customers!$A$2:$A$1001,customers!$I$2:$I$1001,,0)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INDEX(products!$A$1:$G$49,MATCH(orders!$D798,products!$A$1:$A$49,0),MATCH(I$1,products!$A$1:$G$1,0))</f>
        <v>Lib</v>
      </c>
      <c r="J798" t="str">
        <f>INDEX(products!$A$1:$G$49,MATCH(orders!$D798,products!$A$1:$A$49,0),MATCH(J$1,products!$A$1:$G$1,0))</f>
        <v>L</v>
      </c>
      <c r="K798" s="6">
        <f>INDEX(products!$A$1:$G$49,MATCH(orders!$D798,products!$A$1:$A$49,0),MATCH(K$1,products!$A$1:$G$1,0))</f>
        <v>0.5</v>
      </c>
      <c r="L798" s="7">
        <f>INDEX(products!$A$1:$G$49,MATCH(orders!$D798,products!$A$1:$A$49,0),MATCH(L$1,products!$A$1:$G$1,0))</f>
        <v>9.51</v>
      </c>
      <c r="M798" s="7">
        <f t="shared" si="36"/>
        <v>9.51</v>
      </c>
      <c r="N798" t="str">
        <f t="shared" si="37"/>
        <v>Liberica</v>
      </c>
      <c r="O798" t="str">
        <f t="shared" si="38"/>
        <v>Light</v>
      </c>
      <c r="P798" t="str">
        <f>_xlfn.XLOOKUP(Table1[[#This Row],[Customer ID]],customers!$A$2:$A$1001,customers!$I$2:$I$1001,,0)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INDEX(products!$A$1:$G$49,MATCH(orders!$D799,products!$A$1:$A$49,0),MATCH(I$1,products!$A$1:$G$1,0))</f>
        <v>Ara</v>
      </c>
      <c r="J799" t="str">
        <f>INDEX(products!$A$1:$G$49,MATCH(orders!$D799,products!$A$1:$A$49,0),MATCH(J$1,products!$A$1:$G$1,0))</f>
        <v>L</v>
      </c>
      <c r="K799" s="6">
        <f>INDEX(products!$A$1:$G$49,MATCH(orders!$D799,products!$A$1:$A$49,0),MATCH(K$1,products!$A$1:$G$1,0))</f>
        <v>0.5</v>
      </c>
      <c r="L799" s="7">
        <f>INDEX(products!$A$1:$G$49,MATCH(orders!$D799,products!$A$1:$A$49,0),MATCH(L$1,products!$A$1:$G$1,0))</f>
        <v>7.77</v>
      </c>
      <c r="M799" s="7">
        <f t="shared" si="36"/>
        <v>31.08</v>
      </c>
      <c r="N799" t="str">
        <f t="shared" si="37"/>
        <v>Arabica</v>
      </c>
      <c r="O799" t="str">
        <f t="shared" si="38"/>
        <v>Light</v>
      </c>
      <c r="P799" t="str">
        <f>_xlfn.XLOOKUP(Table1[[#This Row],[Customer ID]],customers!$A$2:$A$1001,customers!$I$2:$I$1001,,0)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INDEX(products!$A$1:$G$49,MATCH(orders!$D800,products!$A$1:$A$49,0),MATCH(I$1,products!$A$1:$G$1,0))</f>
        <v>Rob</v>
      </c>
      <c r="J800" t="str">
        <f>INDEX(products!$A$1:$G$49,MATCH(orders!$D800,products!$A$1:$A$49,0),MATCH(J$1,products!$A$1:$G$1,0))</f>
        <v>D</v>
      </c>
      <c r="K800" s="6">
        <f>INDEX(products!$A$1:$G$49,MATCH(orders!$D800,products!$A$1:$A$49,0),MATCH(K$1,products!$A$1:$G$1,0))</f>
        <v>0.2</v>
      </c>
      <c r="L800" s="7">
        <f>INDEX(products!$A$1:$G$49,MATCH(orders!$D800,products!$A$1:$A$49,0),MATCH(L$1,products!$A$1:$G$1,0))</f>
        <v>2.6849999999999996</v>
      </c>
      <c r="M800" s="7">
        <f t="shared" si="36"/>
        <v>8.0549999999999997</v>
      </c>
      <c r="N800" t="str">
        <f t="shared" si="37"/>
        <v>Robusta</v>
      </c>
      <c r="O800" t="str">
        <f t="shared" si="38"/>
        <v>Dark</v>
      </c>
      <c r="P800" t="str">
        <f>_xlfn.XLOOKUP(Table1[[#This Row],[Customer ID]],customers!$A$2:$A$1001,customers!$I$2:$I$1001,,0)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INDEX(products!$A$1:$G$49,MATCH(orders!$D801,products!$A$1:$A$49,0),MATCH(I$1,products!$A$1:$G$1,0))</f>
        <v>Exc</v>
      </c>
      <c r="J801" t="str">
        <f>INDEX(products!$A$1:$G$49,MATCH(orders!$D801,products!$A$1:$A$49,0),MATCH(J$1,products!$A$1:$G$1,0))</f>
        <v>D</v>
      </c>
      <c r="K801" s="6">
        <f>INDEX(products!$A$1:$G$49,MATCH(orders!$D801,products!$A$1:$A$49,0),MATCH(K$1,products!$A$1:$G$1,0))</f>
        <v>1</v>
      </c>
      <c r="L801" s="7">
        <f>INDEX(products!$A$1:$G$49,MATCH(orders!$D801,products!$A$1:$A$49,0),MATCH(L$1,products!$A$1:$G$1,0))</f>
        <v>12.15</v>
      </c>
      <c r="M801" s="7">
        <f t="shared" si="36"/>
        <v>36.450000000000003</v>
      </c>
      <c r="N801" t="str">
        <f t="shared" si="37"/>
        <v>Excelsa</v>
      </c>
      <c r="O801" t="str">
        <f t="shared" si="38"/>
        <v>Dark</v>
      </c>
      <c r="P801" t="str">
        <f>_xlfn.XLOOKUP(Table1[[#This Row],[Customer ID]],customers!$A$2:$A$1001,customers!$I$2:$I$1001,,0)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INDEX(products!$A$1:$G$49,MATCH(orders!$D802,products!$A$1:$A$49,0),MATCH(I$1,products!$A$1:$G$1,0))</f>
        <v>Rob</v>
      </c>
      <c r="J802" t="str">
        <f>INDEX(products!$A$1:$G$49,MATCH(orders!$D802,products!$A$1:$A$49,0),MATCH(J$1,products!$A$1:$G$1,0))</f>
        <v>D</v>
      </c>
      <c r="K802" s="6">
        <f>INDEX(products!$A$1:$G$49,MATCH(orders!$D802,products!$A$1:$A$49,0),MATCH(K$1,products!$A$1:$G$1,0))</f>
        <v>0.2</v>
      </c>
      <c r="L802" s="7">
        <f>INDEX(products!$A$1:$G$49,MATCH(orders!$D802,products!$A$1:$A$49,0),MATCH(L$1,products!$A$1:$G$1,0))</f>
        <v>2.6849999999999996</v>
      </c>
      <c r="M802" s="7">
        <f t="shared" si="36"/>
        <v>16.11</v>
      </c>
      <c r="N802" t="str">
        <f t="shared" si="37"/>
        <v>Robusta</v>
      </c>
      <c r="O802" t="str">
        <f t="shared" si="38"/>
        <v>Dark</v>
      </c>
      <c r="P802" t="str">
        <f>_xlfn.XLOOKUP(Table1[[#This Row],[Customer ID]],customers!$A$2:$A$1001,customers!$I$2:$I$1001,,0)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INDEX(products!$A$1:$G$49,MATCH(orders!$D803,products!$A$1:$A$49,0),MATCH(I$1,products!$A$1:$G$1,0))</f>
        <v>Rob</v>
      </c>
      <c r="J803" t="str">
        <f>INDEX(products!$A$1:$G$49,MATCH(orders!$D803,products!$A$1:$A$49,0),MATCH(J$1,products!$A$1:$G$1,0))</f>
        <v>D</v>
      </c>
      <c r="K803" s="6">
        <f>INDEX(products!$A$1:$G$49,MATCH(orders!$D803,products!$A$1:$A$49,0),MATCH(K$1,products!$A$1:$G$1,0))</f>
        <v>2.5</v>
      </c>
      <c r="L803" s="7">
        <f>INDEX(products!$A$1:$G$49,MATCH(orders!$D803,products!$A$1:$A$49,0),MATCH(L$1,products!$A$1:$G$1,0))</f>
        <v>20.584999999999997</v>
      </c>
      <c r="M803" s="7">
        <f t="shared" si="36"/>
        <v>41.169999999999995</v>
      </c>
      <c r="N803" t="str">
        <f t="shared" si="37"/>
        <v>Robusta</v>
      </c>
      <c r="O803" t="str">
        <f t="shared" si="38"/>
        <v>Dark</v>
      </c>
      <c r="P803" t="str">
        <f>_xlfn.XLOOKUP(Table1[[#This Row],[Customer ID]],customers!$A$2:$A$1001,customers!$I$2:$I$1001,,0)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INDEX(products!$A$1:$G$49,MATCH(orders!$D804,products!$A$1:$A$49,0),MATCH(I$1,products!$A$1:$G$1,0))</f>
        <v>Rob</v>
      </c>
      <c r="J804" t="str">
        <f>INDEX(products!$A$1:$G$49,MATCH(orders!$D804,products!$A$1:$A$49,0),MATCH(J$1,products!$A$1:$G$1,0))</f>
        <v>D</v>
      </c>
      <c r="K804" s="6">
        <f>INDEX(products!$A$1:$G$49,MATCH(orders!$D804,products!$A$1:$A$49,0),MATCH(K$1,products!$A$1:$G$1,0))</f>
        <v>0.2</v>
      </c>
      <c r="L804" s="7">
        <f>INDEX(products!$A$1:$G$49,MATCH(orders!$D804,products!$A$1:$A$49,0),MATCH(L$1,products!$A$1:$G$1,0))</f>
        <v>2.6849999999999996</v>
      </c>
      <c r="M804" s="7">
        <f t="shared" si="36"/>
        <v>10.739999999999998</v>
      </c>
      <c r="N804" t="str">
        <f t="shared" si="37"/>
        <v>Robusta</v>
      </c>
      <c r="O804" t="str">
        <f t="shared" si="38"/>
        <v>Dark</v>
      </c>
      <c r="P804" t="str">
        <f>_xlfn.XLOOKUP(Table1[[#This Row],[Customer ID]],customers!$A$2:$A$1001,customers!$I$2:$I$1001,,0)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INDEX(products!$A$1:$G$49,MATCH(orders!$D805,products!$A$1:$A$49,0),MATCH(I$1,products!$A$1:$G$1,0))</f>
        <v>Exc</v>
      </c>
      <c r="J805" t="str">
        <f>INDEX(products!$A$1:$G$49,MATCH(orders!$D805,products!$A$1:$A$49,0),MATCH(J$1,products!$A$1:$G$1,0))</f>
        <v>M</v>
      </c>
      <c r="K805" s="6">
        <f>INDEX(products!$A$1:$G$49,MATCH(orders!$D805,products!$A$1:$A$49,0),MATCH(K$1,products!$A$1:$G$1,0))</f>
        <v>2.5</v>
      </c>
      <c r="L805" s="7">
        <f>INDEX(products!$A$1:$G$49,MATCH(orders!$D805,products!$A$1:$A$49,0),MATCH(L$1,products!$A$1:$G$1,0))</f>
        <v>31.624999999999996</v>
      </c>
      <c r="M805" s="7">
        <f t="shared" si="36"/>
        <v>126.49999999999999</v>
      </c>
      <c r="N805" t="str">
        <f t="shared" si="37"/>
        <v>Excelsa</v>
      </c>
      <c r="O805" t="str">
        <f t="shared" si="38"/>
        <v>Medium</v>
      </c>
      <c r="P805" t="str">
        <f>_xlfn.XLOOKUP(Table1[[#This Row],[Customer ID]],customers!$A$2:$A$1001,customers!$I$2:$I$1001,,0)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INDEX(products!$A$1:$G$49,MATCH(orders!$D806,products!$A$1:$A$49,0),MATCH(I$1,products!$A$1:$G$1,0))</f>
        <v>Rob</v>
      </c>
      <c r="J806" t="str">
        <f>INDEX(products!$A$1:$G$49,MATCH(orders!$D806,products!$A$1:$A$49,0),MATCH(J$1,products!$A$1:$G$1,0))</f>
        <v>L</v>
      </c>
      <c r="K806" s="6">
        <f>INDEX(products!$A$1:$G$49,MATCH(orders!$D806,products!$A$1:$A$49,0),MATCH(K$1,products!$A$1:$G$1,0))</f>
        <v>1</v>
      </c>
      <c r="L806" s="7">
        <f>INDEX(products!$A$1:$G$49,MATCH(orders!$D806,products!$A$1:$A$49,0),MATCH(L$1,products!$A$1:$G$1,0))</f>
        <v>11.95</v>
      </c>
      <c r="M806" s="7">
        <f t="shared" si="36"/>
        <v>23.9</v>
      </c>
      <c r="N806" t="str">
        <f t="shared" si="37"/>
        <v>Robusta</v>
      </c>
      <c r="O806" t="str">
        <f t="shared" si="38"/>
        <v>Light</v>
      </c>
      <c r="P806" t="str">
        <f>_xlfn.XLOOKUP(Table1[[#This Row],[Customer ID]],customers!$A$2:$A$1001,customers!$I$2:$I$1001,,0)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INDEX(products!$A$1:$G$49,MATCH(orders!$D807,products!$A$1:$A$49,0),MATCH(I$1,products!$A$1:$G$1,0))</f>
        <v>Rob</v>
      </c>
      <c r="J807" t="str">
        <f>INDEX(products!$A$1:$G$49,MATCH(orders!$D807,products!$A$1:$A$49,0),MATCH(J$1,products!$A$1:$G$1,0))</f>
        <v>M</v>
      </c>
      <c r="K807" s="6">
        <f>INDEX(products!$A$1:$G$49,MATCH(orders!$D807,products!$A$1:$A$49,0),MATCH(K$1,products!$A$1:$G$1,0))</f>
        <v>0.5</v>
      </c>
      <c r="L807" s="7">
        <f>INDEX(products!$A$1:$G$49,MATCH(orders!$D807,products!$A$1:$A$49,0),MATCH(L$1,products!$A$1:$G$1,0))</f>
        <v>5.97</v>
      </c>
      <c r="M807" s="7">
        <f t="shared" si="36"/>
        <v>5.97</v>
      </c>
      <c r="N807" t="str">
        <f t="shared" si="37"/>
        <v>Robusta</v>
      </c>
      <c r="O807" t="str">
        <f t="shared" si="38"/>
        <v>Medium</v>
      </c>
      <c r="P807" t="str">
        <f>_xlfn.XLOOKUP(Table1[[#This Row],[Customer ID]],customers!$A$2:$A$1001,customers!$I$2:$I$1001,,0)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INDEX(products!$A$1:$G$49,MATCH(orders!$D808,products!$A$1:$A$49,0),MATCH(I$1,products!$A$1:$G$1,0))</f>
        <v>Lib</v>
      </c>
      <c r="J808" t="str">
        <f>INDEX(products!$A$1:$G$49,MATCH(orders!$D808,products!$A$1:$A$49,0),MATCH(J$1,products!$A$1:$G$1,0))</f>
        <v>D</v>
      </c>
      <c r="K808" s="6">
        <f>INDEX(products!$A$1:$G$49,MATCH(orders!$D808,products!$A$1:$A$49,0),MATCH(K$1,products!$A$1:$G$1,0))</f>
        <v>0.2</v>
      </c>
      <c r="L808" s="7">
        <f>INDEX(products!$A$1:$G$49,MATCH(orders!$D808,products!$A$1:$A$49,0),MATCH(L$1,products!$A$1:$G$1,0))</f>
        <v>3.8849999999999998</v>
      </c>
      <c r="M808" s="7">
        <f t="shared" si="36"/>
        <v>7.77</v>
      </c>
      <c r="N808" t="str">
        <f t="shared" si="37"/>
        <v>Liberica</v>
      </c>
      <c r="O808" t="str">
        <f t="shared" si="38"/>
        <v>Dark</v>
      </c>
      <c r="P808" t="str">
        <f>_xlfn.XLOOKUP(Table1[[#This Row],[Customer ID]],customers!$A$2:$A$1001,customers!$I$2:$I$1001,,0)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INDEX(products!$A$1:$G$49,MATCH(orders!$D809,products!$A$1:$A$49,0),MATCH(I$1,products!$A$1:$G$1,0))</f>
        <v>Lib</v>
      </c>
      <c r="J809" t="str">
        <f>INDEX(products!$A$1:$G$49,MATCH(orders!$D809,products!$A$1:$A$49,0),MATCH(J$1,products!$A$1:$G$1,0))</f>
        <v>D</v>
      </c>
      <c r="K809" s="6">
        <f>INDEX(products!$A$1:$G$49,MATCH(orders!$D809,products!$A$1:$A$49,0),MATCH(K$1,products!$A$1:$G$1,0))</f>
        <v>0.5</v>
      </c>
      <c r="L809" s="7">
        <f>INDEX(products!$A$1:$G$49,MATCH(orders!$D809,products!$A$1:$A$49,0),MATCH(L$1,products!$A$1:$G$1,0))</f>
        <v>7.77</v>
      </c>
      <c r="M809" s="7">
        <f t="shared" si="36"/>
        <v>23.31</v>
      </c>
      <c r="N809" t="str">
        <f t="shared" si="37"/>
        <v>Liberica</v>
      </c>
      <c r="O809" t="str">
        <f t="shared" si="38"/>
        <v>Dark</v>
      </c>
      <c r="P809" t="str">
        <f>_xlfn.XLOOKUP(Table1[[#This Row],[Customer ID]],customers!$A$2:$A$1001,customers!$I$2:$I$1001,,0)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INDEX(products!$A$1:$G$49,MATCH(orders!$D810,products!$A$1:$A$49,0),MATCH(I$1,products!$A$1:$G$1,0))</f>
        <v>Rob</v>
      </c>
      <c r="J810" t="str">
        <f>INDEX(products!$A$1:$G$49,MATCH(orders!$D810,products!$A$1:$A$49,0),MATCH(J$1,products!$A$1:$G$1,0))</f>
        <v>L</v>
      </c>
      <c r="K810" s="6">
        <f>INDEX(products!$A$1:$G$49,MATCH(orders!$D810,products!$A$1:$A$49,0),MATCH(K$1,products!$A$1:$G$1,0))</f>
        <v>2.5</v>
      </c>
      <c r="L810" s="7">
        <f>INDEX(products!$A$1:$G$49,MATCH(orders!$D810,products!$A$1:$A$49,0),MATCH(L$1,products!$A$1:$G$1,0))</f>
        <v>27.484999999999996</v>
      </c>
      <c r="M810" s="7">
        <f t="shared" si="36"/>
        <v>137.42499999999998</v>
      </c>
      <c r="N810" t="str">
        <f t="shared" si="37"/>
        <v>Robusta</v>
      </c>
      <c r="O810" t="str">
        <f t="shared" si="38"/>
        <v>Light</v>
      </c>
      <c r="P810" t="str">
        <f>_xlfn.XLOOKUP(Table1[[#This Row],[Customer ID]],customers!$A$2:$A$1001,customers!$I$2:$I$1001,,0)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INDEX(products!$A$1:$G$49,MATCH(orders!$D811,products!$A$1:$A$49,0),MATCH(I$1,products!$A$1:$G$1,0))</f>
        <v>Rob</v>
      </c>
      <c r="J811" t="str">
        <f>INDEX(products!$A$1:$G$49,MATCH(orders!$D811,products!$A$1:$A$49,0),MATCH(J$1,products!$A$1:$G$1,0))</f>
        <v>D</v>
      </c>
      <c r="K811" s="6">
        <f>INDEX(products!$A$1:$G$49,MATCH(orders!$D811,products!$A$1:$A$49,0),MATCH(K$1,products!$A$1:$G$1,0))</f>
        <v>0.2</v>
      </c>
      <c r="L811" s="7">
        <f>INDEX(products!$A$1:$G$49,MATCH(orders!$D811,products!$A$1:$A$49,0),MATCH(L$1,products!$A$1:$G$1,0))</f>
        <v>2.6849999999999996</v>
      </c>
      <c r="M811" s="7">
        <f t="shared" si="36"/>
        <v>8.0549999999999997</v>
      </c>
      <c r="N811" t="str">
        <f t="shared" si="37"/>
        <v>Robusta</v>
      </c>
      <c r="O811" t="str">
        <f t="shared" si="38"/>
        <v>Dark</v>
      </c>
      <c r="P811" t="str">
        <f>_xlfn.XLOOKUP(Table1[[#This Row],[Customer ID]],customers!$A$2:$A$1001,customers!$I$2:$I$1001,,0)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INDEX(products!$A$1:$G$49,MATCH(orders!$D812,products!$A$1:$A$49,0),MATCH(I$1,products!$A$1:$G$1,0))</f>
        <v>Lib</v>
      </c>
      <c r="J812" t="str">
        <f>INDEX(products!$A$1:$G$49,MATCH(orders!$D812,products!$A$1:$A$49,0),MATCH(J$1,products!$A$1:$G$1,0))</f>
        <v>L</v>
      </c>
      <c r="K812" s="6">
        <f>INDEX(products!$A$1:$G$49,MATCH(orders!$D812,products!$A$1:$A$49,0),MATCH(K$1,products!$A$1:$G$1,0))</f>
        <v>0.5</v>
      </c>
      <c r="L812" s="7">
        <f>INDEX(products!$A$1:$G$49,MATCH(orders!$D812,products!$A$1:$A$49,0),MATCH(L$1,products!$A$1:$G$1,0))</f>
        <v>9.51</v>
      </c>
      <c r="M812" s="7">
        <f t="shared" si="36"/>
        <v>28.53</v>
      </c>
      <c r="N812" t="str">
        <f t="shared" si="37"/>
        <v>Liberica</v>
      </c>
      <c r="O812" t="str">
        <f t="shared" si="38"/>
        <v>Light</v>
      </c>
      <c r="P812" t="str">
        <f>_xlfn.XLOOKUP(Table1[[#This Row],[Customer ID]],customers!$A$2:$A$1001,customers!$I$2:$I$1001,,0)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INDEX(products!$A$1:$G$49,MATCH(orders!$D813,products!$A$1:$A$49,0),MATCH(I$1,products!$A$1:$G$1,0))</f>
        <v>Ara</v>
      </c>
      <c r="J813" t="str">
        <f>INDEX(products!$A$1:$G$49,MATCH(orders!$D813,products!$A$1:$A$49,0),MATCH(J$1,products!$A$1:$G$1,0))</f>
        <v>M</v>
      </c>
      <c r="K813" s="6">
        <f>INDEX(products!$A$1:$G$49,MATCH(orders!$D813,products!$A$1:$A$49,0),MATCH(K$1,products!$A$1:$G$1,0))</f>
        <v>1</v>
      </c>
      <c r="L813" s="7">
        <f>INDEX(products!$A$1:$G$49,MATCH(orders!$D813,products!$A$1:$A$49,0),MATCH(L$1,products!$A$1:$G$1,0))</f>
        <v>11.25</v>
      </c>
      <c r="M813" s="7">
        <f t="shared" si="36"/>
        <v>67.5</v>
      </c>
      <c r="N813" t="str">
        <f t="shared" si="37"/>
        <v>Arabica</v>
      </c>
      <c r="O813" t="str">
        <f t="shared" si="38"/>
        <v>Medium</v>
      </c>
      <c r="P813" t="str">
        <f>_xlfn.XLOOKUP(Table1[[#This Row],[Customer ID]],customers!$A$2:$A$1001,customers!$I$2:$I$1001,,0)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INDEX(products!$A$1:$G$49,MATCH(orders!$D814,products!$A$1:$A$49,0),MATCH(I$1,products!$A$1:$G$1,0))</f>
        <v>Lib</v>
      </c>
      <c r="J814" t="str">
        <f>INDEX(products!$A$1:$G$49,MATCH(orders!$D814,products!$A$1:$A$49,0),MATCH(J$1,products!$A$1:$G$1,0))</f>
        <v>D</v>
      </c>
      <c r="K814" s="6">
        <f>INDEX(products!$A$1:$G$49,MATCH(orders!$D814,products!$A$1:$A$49,0),MATCH(K$1,products!$A$1:$G$1,0))</f>
        <v>2.5</v>
      </c>
      <c r="L814" s="7">
        <f>INDEX(products!$A$1:$G$49,MATCH(orders!$D814,products!$A$1:$A$49,0),MATCH(L$1,products!$A$1:$G$1,0))</f>
        <v>29.784999999999997</v>
      </c>
      <c r="M814" s="7">
        <f t="shared" si="36"/>
        <v>178.70999999999998</v>
      </c>
      <c r="N814" t="str">
        <f t="shared" si="37"/>
        <v>Liberica</v>
      </c>
      <c r="O814" t="str">
        <f t="shared" si="38"/>
        <v>Dark</v>
      </c>
      <c r="P814" t="str">
        <f>_xlfn.XLOOKUP(Table1[[#This Row],[Customer ID]],customers!$A$2:$A$1001,customers!$I$2:$I$1001,,0)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INDEX(products!$A$1:$G$49,MATCH(orders!$D815,products!$A$1:$A$49,0),MATCH(I$1,products!$A$1:$G$1,0))</f>
        <v>Exc</v>
      </c>
      <c r="J815" t="str">
        <f>INDEX(products!$A$1:$G$49,MATCH(orders!$D815,products!$A$1:$A$49,0),MATCH(J$1,products!$A$1:$G$1,0))</f>
        <v>M</v>
      </c>
      <c r="K815" s="6">
        <f>INDEX(products!$A$1:$G$49,MATCH(orders!$D815,products!$A$1:$A$49,0),MATCH(K$1,products!$A$1:$G$1,0))</f>
        <v>2.5</v>
      </c>
      <c r="L815" s="7">
        <f>INDEX(products!$A$1:$G$49,MATCH(orders!$D815,products!$A$1:$A$49,0),MATCH(L$1,products!$A$1:$G$1,0))</f>
        <v>31.624999999999996</v>
      </c>
      <c r="M815" s="7">
        <f t="shared" si="36"/>
        <v>31.624999999999996</v>
      </c>
      <c r="N815" t="str">
        <f t="shared" si="37"/>
        <v>Excelsa</v>
      </c>
      <c r="O815" t="str">
        <f t="shared" si="38"/>
        <v>Medium</v>
      </c>
      <c r="P815" t="str">
        <f>_xlfn.XLOOKUP(Table1[[#This Row],[Customer ID]],customers!$A$2:$A$1001,customers!$I$2:$I$1001,,0)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INDEX(products!$A$1:$G$49,MATCH(orders!$D816,products!$A$1:$A$49,0),MATCH(I$1,products!$A$1:$G$1,0))</f>
        <v>Exc</v>
      </c>
      <c r="J816" t="str">
        <f>INDEX(products!$A$1:$G$49,MATCH(orders!$D816,products!$A$1:$A$49,0),MATCH(J$1,products!$A$1:$G$1,0))</f>
        <v>L</v>
      </c>
      <c r="K816" s="6">
        <f>INDEX(products!$A$1:$G$49,MATCH(orders!$D816,products!$A$1:$A$49,0),MATCH(K$1,products!$A$1:$G$1,0))</f>
        <v>0.2</v>
      </c>
      <c r="L816" s="7">
        <f>INDEX(products!$A$1:$G$49,MATCH(orders!$D816,products!$A$1:$A$49,0),MATCH(L$1,products!$A$1:$G$1,0))</f>
        <v>4.4550000000000001</v>
      </c>
      <c r="M816" s="7">
        <f t="shared" si="36"/>
        <v>8.91</v>
      </c>
      <c r="N816" t="str">
        <f t="shared" si="37"/>
        <v>Excelsa</v>
      </c>
      <c r="O816" t="str">
        <f t="shared" si="38"/>
        <v>Light</v>
      </c>
      <c r="P816" t="str">
        <f>_xlfn.XLOOKUP(Table1[[#This Row],[Customer ID]],customers!$A$2:$A$1001,customers!$I$2:$I$1001,,0)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INDEX(products!$A$1:$G$49,MATCH(orders!$D817,products!$A$1:$A$49,0),MATCH(I$1,products!$A$1:$G$1,0))</f>
        <v>Rob</v>
      </c>
      <c r="J817" t="str">
        <f>INDEX(products!$A$1:$G$49,MATCH(orders!$D817,products!$A$1:$A$49,0),MATCH(J$1,products!$A$1:$G$1,0))</f>
        <v>M</v>
      </c>
      <c r="K817" s="6">
        <f>INDEX(products!$A$1:$G$49,MATCH(orders!$D817,products!$A$1:$A$49,0),MATCH(K$1,products!$A$1:$G$1,0))</f>
        <v>0.5</v>
      </c>
      <c r="L817" s="7">
        <f>INDEX(products!$A$1:$G$49,MATCH(orders!$D817,products!$A$1:$A$49,0),MATCH(L$1,products!$A$1:$G$1,0))</f>
        <v>5.97</v>
      </c>
      <c r="M817" s="7">
        <f t="shared" si="36"/>
        <v>35.82</v>
      </c>
      <c r="N817" t="str">
        <f t="shared" si="37"/>
        <v>Robusta</v>
      </c>
      <c r="O817" t="str">
        <f t="shared" si="38"/>
        <v>Medium</v>
      </c>
      <c r="P817" t="str">
        <f>_xlfn.XLOOKUP(Table1[[#This Row],[Customer ID]],customers!$A$2:$A$1001,customers!$I$2:$I$1001,,0)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INDEX(products!$A$1:$G$49,MATCH(orders!$D818,products!$A$1:$A$49,0),MATCH(I$1,products!$A$1:$G$1,0))</f>
        <v>Lib</v>
      </c>
      <c r="J818" t="str">
        <f>INDEX(products!$A$1:$G$49,MATCH(orders!$D818,products!$A$1:$A$49,0),MATCH(J$1,products!$A$1:$G$1,0))</f>
        <v>L</v>
      </c>
      <c r="K818" s="6">
        <f>INDEX(products!$A$1:$G$49,MATCH(orders!$D818,products!$A$1:$A$49,0),MATCH(K$1,products!$A$1:$G$1,0))</f>
        <v>0.5</v>
      </c>
      <c r="L818" s="7">
        <f>INDEX(products!$A$1:$G$49,MATCH(orders!$D818,products!$A$1:$A$49,0),MATCH(L$1,products!$A$1:$G$1,0))</f>
        <v>9.51</v>
      </c>
      <c r="M818" s="7">
        <f t="shared" si="36"/>
        <v>38.04</v>
      </c>
      <c r="N818" t="str">
        <f t="shared" si="37"/>
        <v>Liberica</v>
      </c>
      <c r="O818" t="str">
        <f t="shared" si="38"/>
        <v>Light</v>
      </c>
      <c r="P818" t="str">
        <f>_xlfn.XLOOKUP(Table1[[#This Row],[Customer ID]],customers!$A$2:$A$1001,customers!$I$2:$I$1001,,0)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INDEX(products!$A$1:$G$49,MATCH(orders!$D819,products!$A$1:$A$49,0),MATCH(I$1,products!$A$1:$G$1,0))</f>
        <v>Lib</v>
      </c>
      <c r="J819" t="str">
        <f>INDEX(products!$A$1:$G$49,MATCH(orders!$D819,products!$A$1:$A$49,0),MATCH(J$1,products!$A$1:$G$1,0))</f>
        <v>D</v>
      </c>
      <c r="K819" s="6">
        <f>INDEX(products!$A$1:$G$49,MATCH(orders!$D819,products!$A$1:$A$49,0),MATCH(K$1,products!$A$1:$G$1,0))</f>
        <v>0.5</v>
      </c>
      <c r="L819" s="7">
        <f>INDEX(products!$A$1:$G$49,MATCH(orders!$D819,products!$A$1:$A$49,0),MATCH(L$1,products!$A$1:$G$1,0))</f>
        <v>7.77</v>
      </c>
      <c r="M819" s="7">
        <f t="shared" si="36"/>
        <v>15.54</v>
      </c>
      <c r="N819" t="str">
        <f t="shared" si="37"/>
        <v>Liberica</v>
      </c>
      <c r="O819" t="str">
        <f t="shared" si="38"/>
        <v>Dark</v>
      </c>
      <c r="P819" t="str">
        <f>_xlfn.XLOOKUP(Table1[[#This Row],[Customer ID]],customers!$A$2:$A$1001,customers!$I$2:$I$1001,,0)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INDEX(products!$A$1:$G$49,MATCH(orders!$D820,products!$A$1:$A$49,0),MATCH(I$1,products!$A$1:$G$1,0))</f>
        <v>Lib</v>
      </c>
      <c r="J820" t="str">
        <f>INDEX(products!$A$1:$G$49,MATCH(orders!$D820,products!$A$1:$A$49,0),MATCH(J$1,products!$A$1:$G$1,0))</f>
        <v>L</v>
      </c>
      <c r="K820" s="6">
        <f>INDEX(products!$A$1:$G$49,MATCH(orders!$D820,products!$A$1:$A$49,0),MATCH(K$1,products!$A$1:$G$1,0))</f>
        <v>1</v>
      </c>
      <c r="L820" s="7">
        <f>INDEX(products!$A$1:$G$49,MATCH(orders!$D820,products!$A$1:$A$49,0),MATCH(L$1,products!$A$1:$G$1,0))</f>
        <v>15.85</v>
      </c>
      <c r="M820" s="7">
        <f t="shared" si="36"/>
        <v>79.25</v>
      </c>
      <c r="N820" t="str">
        <f t="shared" si="37"/>
        <v>Liberica</v>
      </c>
      <c r="O820" t="str">
        <f t="shared" si="38"/>
        <v>Light</v>
      </c>
      <c r="P820" t="str">
        <f>_xlfn.XLOOKUP(Table1[[#This Row],[Customer ID]],customers!$A$2:$A$1001,customers!$I$2:$I$1001,,0)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INDEX(products!$A$1:$G$49,MATCH(orders!$D821,products!$A$1:$A$49,0),MATCH(I$1,products!$A$1:$G$1,0))</f>
        <v>Lib</v>
      </c>
      <c r="J821" t="str">
        <f>INDEX(products!$A$1:$G$49,MATCH(orders!$D821,products!$A$1:$A$49,0),MATCH(J$1,products!$A$1:$G$1,0))</f>
        <v>L</v>
      </c>
      <c r="K821" s="6">
        <f>INDEX(products!$A$1:$G$49,MATCH(orders!$D821,products!$A$1:$A$49,0),MATCH(K$1,products!$A$1:$G$1,0))</f>
        <v>0.2</v>
      </c>
      <c r="L821" s="7">
        <f>INDEX(products!$A$1:$G$49,MATCH(orders!$D821,products!$A$1:$A$49,0),MATCH(L$1,products!$A$1:$G$1,0))</f>
        <v>4.7549999999999999</v>
      </c>
      <c r="M821" s="7">
        <f t="shared" si="36"/>
        <v>4.7549999999999999</v>
      </c>
      <c r="N821" t="str">
        <f t="shared" si="37"/>
        <v>Liberica</v>
      </c>
      <c r="O821" t="str">
        <f t="shared" si="38"/>
        <v>Light</v>
      </c>
      <c r="P821" t="str">
        <f>_xlfn.XLOOKUP(Table1[[#This Row],[Customer ID]],customers!$A$2:$A$1001,customers!$I$2:$I$1001,,0)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INDEX(products!$A$1:$G$49,MATCH(orders!$D822,products!$A$1:$A$49,0),MATCH(I$1,products!$A$1:$G$1,0))</f>
        <v>Exc</v>
      </c>
      <c r="J822" t="str">
        <f>INDEX(products!$A$1:$G$49,MATCH(orders!$D822,products!$A$1:$A$49,0),MATCH(J$1,products!$A$1:$G$1,0))</f>
        <v>M</v>
      </c>
      <c r="K822" s="6">
        <f>INDEX(products!$A$1:$G$49,MATCH(orders!$D822,products!$A$1:$A$49,0),MATCH(K$1,products!$A$1:$G$1,0))</f>
        <v>1</v>
      </c>
      <c r="L822" s="7">
        <f>INDEX(products!$A$1:$G$49,MATCH(orders!$D822,products!$A$1:$A$49,0),MATCH(L$1,products!$A$1:$G$1,0))</f>
        <v>13.75</v>
      </c>
      <c r="M822" s="7">
        <f t="shared" si="36"/>
        <v>55</v>
      </c>
      <c r="N822" t="str">
        <f t="shared" si="37"/>
        <v>Excelsa</v>
      </c>
      <c r="O822" t="str">
        <f t="shared" si="38"/>
        <v>Medium</v>
      </c>
      <c r="P822" t="str">
        <f>_xlfn.XLOOKUP(Table1[[#This Row],[Customer ID]],customers!$A$2:$A$1001,customers!$I$2:$I$1001,,0)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INDEX(products!$A$1:$G$49,MATCH(orders!$D823,products!$A$1:$A$49,0),MATCH(I$1,products!$A$1:$G$1,0))</f>
        <v>Rob</v>
      </c>
      <c r="J823" t="str">
        <f>INDEX(products!$A$1:$G$49,MATCH(orders!$D823,products!$A$1:$A$49,0),MATCH(J$1,products!$A$1:$G$1,0))</f>
        <v>D</v>
      </c>
      <c r="K823" s="6">
        <f>INDEX(products!$A$1:$G$49,MATCH(orders!$D823,products!$A$1:$A$49,0),MATCH(K$1,products!$A$1:$G$1,0))</f>
        <v>0.5</v>
      </c>
      <c r="L823" s="7">
        <f>INDEX(products!$A$1:$G$49,MATCH(orders!$D823,products!$A$1:$A$49,0),MATCH(L$1,products!$A$1:$G$1,0))</f>
        <v>5.3699999999999992</v>
      </c>
      <c r="M823" s="7">
        <f t="shared" si="36"/>
        <v>26.849999999999994</v>
      </c>
      <c r="N823" t="str">
        <f t="shared" si="37"/>
        <v>Robusta</v>
      </c>
      <c r="O823" t="str">
        <f t="shared" si="38"/>
        <v>Dark</v>
      </c>
      <c r="P823" t="str">
        <f>_xlfn.XLOOKUP(Table1[[#This Row],[Customer ID]],customers!$A$2:$A$1001,customers!$I$2:$I$1001,,0)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INDEX(products!$A$1:$G$49,MATCH(orders!$D824,products!$A$1:$A$49,0),MATCH(I$1,products!$A$1:$G$1,0))</f>
        <v>Exc</v>
      </c>
      <c r="J824" t="str">
        <f>INDEX(products!$A$1:$G$49,MATCH(orders!$D824,products!$A$1:$A$49,0),MATCH(J$1,products!$A$1:$G$1,0))</f>
        <v>L</v>
      </c>
      <c r="K824" s="6">
        <f>INDEX(products!$A$1:$G$49,MATCH(orders!$D824,products!$A$1:$A$49,0),MATCH(K$1,products!$A$1:$G$1,0))</f>
        <v>2.5</v>
      </c>
      <c r="L824" s="7">
        <f>INDEX(products!$A$1:$G$49,MATCH(orders!$D824,products!$A$1:$A$49,0),MATCH(L$1,products!$A$1:$G$1,0))</f>
        <v>34.154999999999994</v>
      </c>
      <c r="M824" s="7">
        <f t="shared" si="36"/>
        <v>136.61999999999998</v>
      </c>
      <c r="N824" t="str">
        <f t="shared" si="37"/>
        <v>Excelsa</v>
      </c>
      <c r="O824" t="str">
        <f t="shared" si="38"/>
        <v>Light</v>
      </c>
      <c r="P824" t="str">
        <f>_xlfn.XLOOKUP(Table1[[#This Row],[Customer ID]],customers!$A$2:$A$1001,customers!$I$2:$I$1001,,0)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INDEX(products!$A$1:$G$49,MATCH(orders!$D825,products!$A$1:$A$49,0),MATCH(I$1,products!$A$1:$G$1,0))</f>
        <v>Lib</v>
      </c>
      <c r="J825" t="str">
        <f>INDEX(products!$A$1:$G$49,MATCH(orders!$D825,products!$A$1:$A$49,0),MATCH(J$1,products!$A$1:$G$1,0))</f>
        <v>L</v>
      </c>
      <c r="K825" s="6">
        <f>INDEX(products!$A$1:$G$49,MATCH(orders!$D825,products!$A$1:$A$49,0),MATCH(K$1,products!$A$1:$G$1,0))</f>
        <v>1</v>
      </c>
      <c r="L825" s="7">
        <f>INDEX(products!$A$1:$G$49,MATCH(orders!$D825,products!$A$1:$A$49,0),MATCH(L$1,products!$A$1:$G$1,0))</f>
        <v>15.85</v>
      </c>
      <c r="M825" s="7">
        <f t="shared" si="36"/>
        <v>47.55</v>
      </c>
      <c r="N825" t="str">
        <f t="shared" si="37"/>
        <v>Liberica</v>
      </c>
      <c r="O825" t="str">
        <f t="shared" si="38"/>
        <v>Light</v>
      </c>
      <c r="P825" t="str">
        <f>_xlfn.XLOOKUP(Table1[[#This Row],[Customer ID]],customers!$A$2:$A$1001,customers!$I$2:$I$1001,,0)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INDEX(products!$A$1:$G$49,MATCH(orders!$D826,products!$A$1:$A$49,0),MATCH(I$1,products!$A$1:$G$1,0))</f>
        <v>Ara</v>
      </c>
      <c r="J826" t="str">
        <f>INDEX(products!$A$1:$G$49,MATCH(orders!$D826,products!$A$1:$A$49,0),MATCH(J$1,products!$A$1:$G$1,0))</f>
        <v>M</v>
      </c>
      <c r="K826" s="6">
        <f>INDEX(products!$A$1:$G$49,MATCH(orders!$D826,products!$A$1:$A$49,0),MATCH(K$1,products!$A$1:$G$1,0))</f>
        <v>0.2</v>
      </c>
      <c r="L826" s="7">
        <f>INDEX(products!$A$1:$G$49,MATCH(orders!$D826,products!$A$1:$A$49,0),MATCH(L$1,products!$A$1:$G$1,0))</f>
        <v>3.375</v>
      </c>
      <c r="M826" s="7">
        <f t="shared" si="36"/>
        <v>16.875</v>
      </c>
      <c r="N826" t="str">
        <f t="shared" si="37"/>
        <v>Arabica</v>
      </c>
      <c r="O826" t="str">
        <f t="shared" si="38"/>
        <v>Medium</v>
      </c>
      <c r="P826" t="str">
        <f>_xlfn.XLOOKUP(Table1[[#This Row],[Customer ID]],customers!$A$2:$A$1001,customers!$I$2:$I$1001,,0)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INDEX(products!$A$1:$G$49,MATCH(orders!$D827,products!$A$1:$A$49,0),MATCH(I$1,products!$A$1:$G$1,0))</f>
        <v>Ara</v>
      </c>
      <c r="J827" t="str">
        <f>INDEX(products!$A$1:$G$49,MATCH(orders!$D827,products!$A$1:$A$49,0),MATCH(J$1,products!$A$1:$G$1,0))</f>
        <v>D</v>
      </c>
      <c r="K827" s="6">
        <f>INDEX(products!$A$1:$G$49,MATCH(orders!$D827,products!$A$1:$A$49,0),MATCH(K$1,products!$A$1:$G$1,0))</f>
        <v>1</v>
      </c>
      <c r="L827" s="7">
        <f>INDEX(products!$A$1:$G$49,MATCH(orders!$D827,products!$A$1:$A$49,0),MATCH(L$1,products!$A$1:$G$1,0))</f>
        <v>9.9499999999999993</v>
      </c>
      <c r="M827" s="7">
        <f t="shared" si="36"/>
        <v>29.849999999999998</v>
      </c>
      <c r="N827" t="str">
        <f t="shared" si="37"/>
        <v>Arabica</v>
      </c>
      <c r="O827" t="str">
        <f t="shared" si="38"/>
        <v>Dark</v>
      </c>
      <c r="P827" t="str">
        <f>_xlfn.XLOOKUP(Table1[[#This Row],[Customer ID]],customers!$A$2:$A$1001,customers!$I$2:$I$1001,,0)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INDEX(products!$A$1:$G$49,MATCH(orders!$D828,products!$A$1:$A$49,0),MATCH(I$1,products!$A$1:$G$1,0))</f>
        <v>Exc</v>
      </c>
      <c r="J828" t="str">
        <f>INDEX(products!$A$1:$G$49,MATCH(orders!$D828,products!$A$1:$A$49,0),MATCH(J$1,products!$A$1:$G$1,0))</f>
        <v>M</v>
      </c>
      <c r="K828" s="6">
        <f>INDEX(products!$A$1:$G$49,MATCH(orders!$D828,products!$A$1:$A$49,0),MATCH(K$1,products!$A$1:$G$1,0))</f>
        <v>0.5</v>
      </c>
      <c r="L828" s="7">
        <f>INDEX(products!$A$1:$G$49,MATCH(orders!$D828,products!$A$1:$A$49,0),MATCH(L$1,products!$A$1:$G$1,0))</f>
        <v>8.25</v>
      </c>
      <c r="M828" s="7">
        <f t="shared" si="36"/>
        <v>41.25</v>
      </c>
      <c r="N828" t="str">
        <f t="shared" si="37"/>
        <v>Excelsa</v>
      </c>
      <c r="O828" t="str">
        <f t="shared" si="38"/>
        <v>Medium</v>
      </c>
      <c r="P828" t="str">
        <f>_xlfn.XLOOKUP(Table1[[#This Row],[Customer ID]],customers!$A$2:$A$1001,customers!$I$2:$I$1001,,0)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INDEX(products!$A$1:$G$49,MATCH(orders!$D829,products!$A$1:$A$49,0),MATCH(I$1,products!$A$1:$G$1,0))</f>
        <v>Exc</v>
      </c>
      <c r="J829" t="str">
        <f>INDEX(products!$A$1:$G$49,MATCH(orders!$D829,products!$A$1:$A$49,0),MATCH(J$1,products!$A$1:$G$1,0))</f>
        <v>M</v>
      </c>
      <c r="K829" s="6">
        <f>INDEX(products!$A$1:$G$49,MATCH(orders!$D829,products!$A$1:$A$49,0),MATCH(K$1,products!$A$1:$G$1,0))</f>
        <v>0.2</v>
      </c>
      <c r="L829" s="7">
        <f>INDEX(products!$A$1:$G$49,MATCH(orders!$D829,products!$A$1:$A$49,0),MATCH(L$1,products!$A$1:$G$1,0))</f>
        <v>4.125</v>
      </c>
      <c r="M829" s="7">
        <f t="shared" si="36"/>
        <v>20.625</v>
      </c>
      <c r="N829" t="str">
        <f t="shared" si="37"/>
        <v>Excelsa</v>
      </c>
      <c r="O829" t="str">
        <f t="shared" si="38"/>
        <v>Medium</v>
      </c>
      <c r="P829" t="str">
        <f>_xlfn.XLOOKUP(Table1[[#This Row],[Customer ID]],customers!$A$2:$A$1001,customers!$I$2:$I$1001,,0)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INDEX(products!$A$1:$G$49,MATCH(orders!$D830,products!$A$1:$A$49,0),MATCH(I$1,products!$A$1:$G$1,0))</f>
        <v>Ara</v>
      </c>
      <c r="J830" t="str">
        <f>INDEX(products!$A$1:$G$49,MATCH(orders!$D830,products!$A$1:$A$49,0),MATCH(J$1,products!$A$1:$G$1,0))</f>
        <v>D</v>
      </c>
      <c r="K830" s="6">
        <f>INDEX(products!$A$1:$G$49,MATCH(orders!$D830,products!$A$1:$A$49,0),MATCH(K$1,products!$A$1:$G$1,0))</f>
        <v>2.5</v>
      </c>
      <c r="L830" s="7">
        <f>INDEX(products!$A$1:$G$49,MATCH(orders!$D830,products!$A$1:$A$49,0),MATCH(L$1,products!$A$1:$G$1,0))</f>
        <v>22.884999999999998</v>
      </c>
      <c r="M830" s="7">
        <f t="shared" si="36"/>
        <v>137.31</v>
      </c>
      <c r="N830" t="str">
        <f t="shared" si="37"/>
        <v>Arabica</v>
      </c>
      <c r="O830" t="str">
        <f t="shared" si="38"/>
        <v>Dark</v>
      </c>
      <c r="P830" t="str">
        <f>_xlfn.XLOOKUP(Table1[[#This Row],[Customer ID]],customers!$A$2:$A$1001,customers!$I$2:$I$1001,,0)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INDEX(products!$A$1:$G$49,MATCH(orders!$D831,products!$A$1:$A$49,0),MATCH(I$1,products!$A$1:$G$1,0))</f>
        <v>Ara</v>
      </c>
      <c r="J831" t="str">
        <f>INDEX(products!$A$1:$G$49,MATCH(orders!$D831,products!$A$1:$A$49,0),MATCH(J$1,products!$A$1:$G$1,0))</f>
        <v>D</v>
      </c>
      <c r="K831" s="6">
        <f>INDEX(products!$A$1:$G$49,MATCH(orders!$D831,products!$A$1:$A$49,0),MATCH(K$1,products!$A$1:$G$1,0))</f>
        <v>0.2</v>
      </c>
      <c r="L831" s="7">
        <f>INDEX(products!$A$1:$G$49,MATCH(orders!$D831,products!$A$1:$A$49,0),MATCH(L$1,products!$A$1:$G$1,0))</f>
        <v>2.9849999999999999</v>
      </c>
      <c r="M831" s="7">
        <f t="shared" si="36"/>
        <v>2.9849999999999999</v>
      </c>
      <c r="N831" t="str">
        <f t="shared" si="37"/>
        <v>Arabica</v>
      </c>
      <c r="O831" t="str">
        <f t="shared" si="38"/>
        <v>Dark</v>
      </c>
      <c r="P831" t="str">
        <f>_xlfn.XLOOKUP(Table1[[#This Row],[Customer ID]],customers!$A$2:$A$1001,customers!$I$2:$I$1001,,0)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INDEX(products!$A$1:$G$49,MATCH(orders!$D832,products!$A$1:$A$49,0),MATCH(I$1,products!$A$1:$G$1,0))</f>
        <v>Exc</v>
      </c>
      <c r="J832" t="str">
        <f>INDEX(products!$A$1:$G$49,MATCH(orders!$D832,products!$A$1:$A$49,0),MATCH(J$1,products!$A$1:$G$1,0))</f>
        <v>M</v>
      </c>
      <c r="K832" s="6">
        <f>INDEX(products!$A$1:$G$49,MATCH(orders!$D832,products!$A$1:$A$49,0),MATCH(K$1,products!$A$1:$G$1,0))</f>
        <v>1</v>
      </c>
      <c r="L832" s="7">
        <f>INDEX(products!$A$1:$G$49,MATCH(orders!$D832,products!$A$1:$A$49,0),MATCH(L$1,products!$A$1:$G$1,0))</f>
        <v>13.75</v>
      </c>
      <c r="M832" s="7">
        <f t="shared" si="36"/>
        <v>27.5</v>
      </c>
      <c r="N832" t="str">
        <f t="shared" si="37"/>
        <v>Excelsa</v>
      </c>
      <c r="O832" t="str">
        <f t="shared" si="38"/>
        <v>Medium</v>
      </c>
      <c r="P832" t="str">
        <f>_xlfn.XLOOKUP(Table1[[#This Row],[Customer ID]],customers!$A$2:$A$1001,customers!$I$2:$I$1001,,0)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INDEX(products!$A$1:$G$49,MATCH(orders!$D833,products!$A$1:$A$49,0),MATCH(I$1,products!$A$1:$G$1,0))</f>
        <v>Ara</v>
      </c>
      <c r="J833" t="str">
        <f>INDEX(products!$A$1:$G$49,MATCH(orders!$D833,products!$A$1:$A$49,0),MATCH(J$1,products!$A$1:$G$1,0))</f>
        <v>D</v>
      </c>
      <c r="K833" s="6">
        <f>INDEX(products!$A$1:$G$49,MATCH(orders!$D833,products!$A$1:$A$49,0),MATCH(K$1,products!$A$1:$G$1,0))</f>
        <v>0.2</v>
      </c>
      <c r="L833" s="7">
        <f>INDEX(products!$A$1:$G$49,MATCH(orders!$D833,products!$A$1:$A$49,0),MATCH(L$1,products!$A$1:$G$1,0))</f>
        <v>2.9849999999999999</v>
      </c>
      <c r="M833" s="7">
        <f t="shared" si="36"/>
        <v>5.97</v>
      </c>
      <c r="N833" t="str">
        <f t="shared" si="37"/>
        <v>Arabica</v>
      </c>
      <c r="O833" t="str">
        <f t="shared" si="38"/>
        <v>Dark</v>
      </c>
      <c r="P833" t="str">
        <f>_xlfn.XLOOKUP(Table1[[#This Row],[Customer ID]],customers!$A$2:$A$1001,customers!$I$2:$I$1001,,0)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INDEX(products!$A$1:$G$49,MATCH(orders!$D834,products!$A$1:$A$49,0),MATCH(I$1,products!$A$1:$G$1,0))</f>
        <v>Rob</v>
      </c>
      <c r="J834" t="str">
        <f>INDEX(products!$A$1:$G$49,MATCH(orders!$D834,products!$A$1:$A$49,0),MATCH(J$1,products!$A$1:$G$1,0))</f>
        <v>M</v>
      </c>
      <c r="K834" s="6">
        <f>INDEX(products!$A$1:$G$49,MATCH(orders!$D834,products!$A$1:$A$49,0),MATCH(K$1,products!$A$1:$G$1,0))</f>
        <v>1</v>
      </c>
      <c r="L834" s="7">
        <f>INDEX(products!$A$1:$G$49,MATCH(orders!$D834,products!$A$1:$A$49,0),MATCH(L$1,products!$A$1:$G$1,0))</f>
        <v>9.9499999999999993</v>
      </c>
      <c r="M834" s="7">
        <f t="shared" si="36"/>
        <v>59.699999999999996</v>
      </c>
      <c r="N834" t="str">
        <f t="shared" si="37"/>
        <v>Robusta</v>
      </c>
      <c r="O834" t="str">
        <f t="shared" si="38"/>
        <v>Medium</v>
      </c>
      <c r="P834" t="str">
        <f>_xlfn.XLOOKUP(Table1[[#This Row],[Customer ID]],customers!$A$2:$A$1001,customers!$I$2:$I$1001,,0)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INDEX(products!$A$1:$G$49,MATCH(orders!$D835,products!$A$1:$A$49,0),MATCH(I$1,products!$A$1:$G$1,0))</f>
        <v>Rob</v>
      </c>
      <c r="J835" t="str">
        <f>INDEX(products!$A$1:$G$49,MATCH(orders!$D835,products!$A$1:$A$49,0),MATCH(J$1,products!$A$1:$G$1,0))</f>
        <v>D</v>
      </c>
      <c r="K835" s="6">
        <f>INDEX(products!$A$1:$G$49,MATCH(orders!$D835,products!$A$1:$A$49,0),MATCH(K$1,products!$A$1:$G$1,0))</f>
        <v>2.5</v>
      </c>
      <c r="L835" s="7">
        <f>INDEX(products!$A$1:$G$49,MATCH(orders!$D835,products!$A$1:$A$49,0),MATCH(L$1,products!$A$1:$G$1,0))</f>
        <v>20.584999999999997</v>
      </c>
      <c r="M835" s="7">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_xlfn.XLOOKUP(Table1[[#This Row],[Customer ID]],customers!$A$2:$A$1001,customers!$I$2:$I$1001,,0)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INDEX(products!$A$1:$G$49,MATCH(orders!$D836,products!$A$1:$A$49,0),MATCH(I$1,products!$A$1:$G$1,0))</f>
        <v>Ara</v>
      </c>
      <c r="J836" t="str">
        <f>INDEX(products!$A$1:$G$49,MATCH(orders!$D836,products!$A$1:$A$49,0),MATCH(J$1,products!$A$1:$G$1,0))</f>
        <v>D</v>
      </c>
      <c r="K836" s="6">
        <f>INDEX(products!$A$1:$G$49,MATCH(orders!$D836,products!$A$1:$A$49,0),MATCH(K$1,products!$A$1:$G$1,0))</f>
        <v>2.5</v>
      </c>
      <c r="L836" s="7">
        <f>INDEX(products!$A$1:$G$49,MATCH(orders!$D836,products!$A$1:$A$49,0),MATCH(L$1,products!$A$1:$G$1,0))</f>
        <v>22.884999999999998</v>
      </c>
      <c r="M836" s="7">
        <f t="shared" si="39"/>
        <v>22.884999999999998</v>
      </c>
      <c r="N836" t="str">
        <f t="shared" si="40"/>
        <v>Arabica</v>
      </c>
      <c r="O836" t="str">
        <f t="shared" si="41"/>
        <v>Dark</v>
      </c>
      <c r="P836" t="str">
        <f>_xlfn.XLOOKUP(Table1[[#This Row],[Customer ID]],customers!$A$2:$A$1001,customers!$I$2:$I$1001,,0)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INDEX(products!$A$1:$G$49,MATCH(orders!$D837,products!$A$1:$A$49,0),MATCH(I$1,products!$A$1:$G$1,0))</f>
        <v>Exc</v>
      </c>
      <c r="J837" t="str">
        <f>INDEX(products!$A$1:$G$49,MATCH(orders!$D837,products!$A$1:$A$49,0),MATCH(J$1,products!$A$1:$G$1,0))</f>
        <v>L</v>
      </c>
      <c r="K837" s="6">
        <f>INDEX(products!$A$1:$G$49,MATCH(orders!$D837,products!$A$1:$A$49,0),MATCH(K$1,products!$A$1:$G$1,0))</f>
        <v>0.5</v>
      </c>
      <c r="L837" s="7">
        <f>INDEX(products!$A$1:$G$49,MATCH(orders!$D837,products!$A$1:$A$49,0),MATCH(L$1,products!$A$1:$G$1,0))</f>
        <v>8.91</v>
      </c>
      <c r="M837" s="7">
        <f t="shared" si="39"/>
        <v>8.91</v>
      </c>
      <c r="N837" t="str">
        <f t="shared" si="40"/>
        <v>Excelsa</v>
      </c>
      <c r="O837" t="str">
        <f t="shared" si="41"/>
        <v>Light</v>
      </c>
      <c r="P837" t="str">
        <f>_xlfn.XLOOKUP(Table1[[#This Row],[Customer ID]],customers!$A$2:$A$1001,customers!$I$2:$I$1001,,0)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INDEX(products!$A$1:$G$49,MATCH(orders!$D838,products!$A$1:$A$49,0),MATCH(I$1,products!$A$1:$G$1,0))</f>
        <v>Ara</v>
      </c>
      <c r="J838" t="str">
        <f>INDEX(products!$A$1:$G$49,MATCH(orders!$D838,products!$A$1:$A$49,0),MATCH(J$1,products!$A$1:$G$1,0))</f>
        <v>D</v>
      </c>
      <c r="K838" s="6">
        <f>INDEX(products!$A$1:$G$49,MATCH(orders!$D838,products!$A$1:$A$49,0),MATCH(K$1,products!$A$1:$G$1,0))</f>
        <v>0.2</v>
      </c>
      <c r="L838" s="7">
        <f>INDEX(products!$A$1:$G$49,MATCH(orders!$D838,products!$A$1:$A$49,0),MATCH(L$1,products!$A$1:$G$1,0))</f>
        <v>2.9849999999999999</v>
      </c>
      <c r="M838" s="7">
        <f t="shared" si="39"/>
        <v>11.94</v>
      </c>
      <c r="N838" t="str">
        <f t="shared" si="40"/>
        <v>Arabica</v>
      </c>
      <c r="O838" t="str">
        <f t="shared" si="41"/>
        <v>Dark</v>
      </c>
      <c r="P838" t="str">
        <f>_xlfn.XLOOKUP(Table1[[#This Row],[Customer ID]],customers!$A$2:$A$1001,customers!$I$2:$I$1001,,0)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INDEX(products!$A$1:$G$49,MATCH(orders!$D839,products!$A$1:$A$49,0),MATCH(I$1,products!$A$1:$G$1,0))</f>
        <v>Lib</v>
      </c>
      <c r="J839" t="str">
        <f>INDEX(products!$A$1:$G$49,MATCH(orders!$D839,products!$A$1:$A$49,0),MATCH(J$1,products!$A$1:$G$1,0))</f>
        <v>M</v>
      </c>
      <c r="K839" s="6">
        <f>INDEX(products!$A$1:$G$49,MATCH(orders!$D839,products!$A$1:$A$49,0),MATCH(K$1,products!$A$1:$G$1,0))</f>
        <v>2.5</v>
      </c>
      <c r="L839" s="7">
        <f>INDEX(products!$A$1:$G$49,MATCH(orders!$D839,products!$A$1:$A$49,0),MATCH(L$1,products!$A$1:$G$1,0))</f>
        <v>33.464999999999996</v>
      </c>
      <c r="M839" s="7">
        <f t="shared" si="39"/>
        <v>100.39499999999998</v>
      </c>
      <c r="N839" t="str">
        <f t="shared" si="40"/>
        <v>Liberica</v>
      </c>
      <c r="O839" t="str">
        <f t="shared" si="41"/>
        <v>Medium</v>
      </c>
      <c r="P839" t="str">
        <f>_xlfn.XLOOKUP(Table1[[#This Row],[Customer ID]],customers!$A$2:$A$1001,customers!$I$2:$I$1001,,0)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INDEX(products!$A$1:$G$49,MATCH(orders!$D840,products!$A$1:$A$49,0),MATCH(I$1,products!$A$1:$G$1,0))</f>
        <v>Ara</v>
      </c>
      <c r="J840" t="str">
        <f>INDEX(products!$A$1:$G$49,MATCH(orders!$D840,products!$A$1:$A$49,0),MATCH(J$1,products!$A$1:$G$1,0))</f>
        <v>D</v>
      </c>
      <c r="K840" s="6">
        <f>INDEX(products!$A$1:$G$49,MATCH(orders!$D840,products!$A$1:$A$49,0),MATCH(K$1,products!$A$1:$G$1,0))</f>
        <v>2.5</v>
      </c>
      <c r="L840" s="7">
        <f>INDEX(products!$A$1:$G$49,MATCH(orders!$D840,products!$A$1:$A$49,0),MATCH(L$1,products!$A$1:$G$1,0))</f>
        <v>22.884999999999998</v>
      </c>
      <c r="M840" s="7">
        <f t="shared" si="39"/>
        <v>114.42499999999998</v>
      </c>
      <c r="N840" t="str">
        <f t="shared" si="40"/>
        <v>Arabica</v>
      </c>
      <c r="O840" t="str">
        <f t="shared" si="41"/>
        <v>Dark</v>
      </c>
      <c r="P840" t="str">
        <f>_xlfn.XLOOKUP(Table1[[#This Row],[Customer ID]],customers!$A$2:$A$1001,customers!$I$2:$I$1001,,0)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INDEX(products!$A$1:$G$49,MATCH(orders!$D841,products!$A$1:$A$49,0),MATCH(I$1,products!$A$1:$G$1,0))</f>
        <v>Exc</v>
      </c>
      <c r="J841" t="str">
        <f>INDEX(products!$A$1:$G$49,MATCH(orders!$D841,products!$A$1:$A$49,0),MATCH(J$1,products!$A$1:$G$1,0))</f>
        <v>M</v>
      </c>
      <c r="K841" s="6">
        <f>INDEX(products!$A$1:$G$49,MATCH(orders!$D841,products!$A$1:$A$49,0),MATCH(K$1,products!$A$1:$G$1,0))</f>
        <v>0.5</v>
      </c>
      <c r="L841" s="7">
        <f>INDEX(products!$A$1:$G$49,MATCH(orders!$D841,products!$A$1:$A$49,0),MATCH(L$1,products!$A$1:$G$1,0))</f>
        <v>8.25</v>
      </c>
      <c r="M841" s="7">
        <f t="shared" si="39"/>
        <v>41.25</v>
      </c>
      <c r="N841" t="str">
        <f t="shared" si="40"/>
        <v>Excelsa</v>
      </c>
      <c r="O841" t="str">
        <f t="shared" si="41"/>
        <v>Medium</v>
      </c>
      <c r="P841" t="str">
        <f>_xlfn.XLOOKUP(Table1[[#This Row],[Customer ID]],customers!$A$2:$A$1001,customers!$I$2:$I$1001,,0)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INDEX(products!$A$1:$G$49,MATCH(orders!$D842,products!$A$1:$A$49,0),MATCH(I$1,products!$A$1:$G$1,0))</f>
        <v>Rob</v>
      </c>
      <c r="J842" t="str">
        <f>INDEX(products!$A$1:$G$49,MATCH(orders!$D842,products!$A$1:$A$49,0),MATCH(J$1,products!$A$1:$G$1,0))</f>
        <v>L</v>
      </c>
      <c r="K842" s="6">
        <f>INDEX(products!$A$1:$G$49,MATCH(orders!$D842,products!$A$1:$A$49,0),MATCH(K$1,products!$A$1:$G$1,0))</f>
        <v>0.5</v>
      </c>
      <c r="L842" s="7">
        <f>INDEX(products!$A$1:$G$49,MATCH(orders!$D842,products!$A$1:$A$49,0),MATCH(L$1,products!$A$1:$G$1,0))</f>
        <v>7.169999999999999</v>
      </c>
      <c r="M842" s="7">
        <f t="shared" si="39"/>
        <v>28.679999999999996</v>
      </c>
      <c r="N842" t="str">
        <f t="shared" si="40"/>
        <v>Robusta</v>
      </c>
      <c r="O842" t="str">
        <f t="shared" si="41"/>
        <v>Light</v>
      </c>
      <c r="P842" t="str">
        <f>_xlfn.XLOOKUP(Table1[[#This Row],[Customer ID]],customers!$A$2:$A$1001,customers!$I$2:$I$1001,,0)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INDEX(products!$A$1:$G$49,MATCH(orders!$D843,products!$A$1:$A$49,0),MATCH(I$1,products!$A$1:$G$1,0))</f>
        <v>Lib</v>
      </c>
      <c r="J843" t="str">
        <f>INDEX(products!$A$1:$G$49,MATCH(orders!$D843,products!$A$1:$A$49,0),MATCH(J$1,products!$A$1:$G$1,0))</f>
        <v>M</v>
      </c>
      <c r="K843" s="6">
        <f>INDEX(products!$A$1:$G$49,MATCH(orders!$D843,products!$A$1:$A$49,0),MATCH(K$1,products!$A$1:$G$1,0))</f>
        <v>0.2</v>
      </c>
      <c r="L843" s="7">
        <f>INDEX(products!$A$1:$G$49,MATCH(orders!$D843,products!$A$1:$A$49,0),MATCH(L$1,products!$A$1:$G$1,0))</f>
        <v>4.3650000000000002</v>
      </c>
      <c r="M843" s="7">
        <f t="shared" si="39"/>
        <v>4.3650000000000002</v>
      </c>
      <c r="N843" t="str">
        <f t="shared" si="40"/>
        <v>Liberica</v>
      </c>
      <c r="O843" t="str">
        <f t="shared" si="41"/>
        <v>Medium</v>
      </c>
      <c r="P843" t="str">
        <f>_xlfn.XLOOKUP(Table1[[#This Row],[Customer ID]],customers!$A$2:$A$1001,customers!$I$2:$I$1001,,0)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INDEX(products!$A$1:$G$49,MATCH(orders!$D844,products!$A$1:$A$49,0),MATCH(I$1,products!$A$1:$G$1,0))</f>
        <v>Exc</v>
      </c>
      <c r="J844" t="str">
        <f>INDEX(products!$A$1:$G$49,MATCH(orders!$D844,products!$A$1:$A$49,0),MATCH(J$1,products!$A$1:$G$1,0))</f>
        <v>M</v>
      </c>
      <c r="K844" s="6">
        <f>INDEX(products!$A$1:$G$49,MATCH(orders!$D844,products!$A$1:$A$49,0),MATCH(K$1,products!$A$1:$G$1,0))</f>
        <v>0.2</v>
      </c>
      <c r="L844" s="7">
        <f>INDEX(products!$A$1:$G$49,MATCH(orders!$D844,products!$A$1:$A$49,0),MATCH(L$1,products!$A$1:$G$1,0))</f>
        <v>4.125</v>
      </c>
      <c r="M844" s="7">
        <f t="shared" si="39"/>
        <v>8.25</v>
      </c>
      <c r="N844" t="str">
        <f t="shared" si="40"/>
        <v>Excelsa</v>
      </c>
      <c r="O844" t="str">
        <f t="shared" si="41"/>
        <v>Medium</v>
      </c>
      <c r="P844" t="str">
        <f>_xlfn.XLOOKUP(Table1[[#This Row],[Customer ID]],customers!$A$2:$A$1001,customers!$I$2:$I$1001,,0)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INDEX(products!$A$1:$G$49,MATCH(orders!$D845,products!$A$1:$A$49,0),MATCH(I$1,products!$A$1:$G$1,0))</f>
        <v>Exc</v>
      </c>
      <c r="J845" t="str">
        <f>INDEX(products!$A$1:$G$49,MATCH(orders!$D845,products!$A$1:$A$49,0),MATCH(J$1,products!$A$1:$G$1,0))</f>
        <v>M</v>
      </c>
      <c r="K845" s="6">
        <f>INDEX(products!$A$1:$G$49,MATCH(orders!$D845,products!$A$1:$A$49,0),MATCH(K$1,products!$A$1:$G$1,0))</f>
        <v>0.2</v>
      </c>
      <c r="L845" s="7">
        <f>INDEX(products!$A$1:$G$49,MATCH(orders!$D845,products!$A$1:$A$49,0),MATCH(L$1,products!$A$1:$G$1,0))</f>
        <v>4.125</v>
      </c>
      <c r="M845" s="7">
        <f t="shared" si="39"/>
        <v>8.25</v>
      </c>
      <c r="N845" t="str">
        <f t="shared" si="40"/>
        <v>Excelsa</v>
      </c>
      <c r="O845" t="str">
        <f t="shared" si="41"/>
        <v>Medium</v>
      </c>
      <c r="P845" t="str">
        <f>_xlfn.XLOOKUP(Table1[[#This Row],[Customer ID]],customers!$A$2:$A$1001,customers!$I$2:$I$1001,,0)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INDEX(products!$A$1:$G$49,MATCH(orders!$D846,products!$A$1:$A$49,0),MATCH(I$1,products!$A$1:$G$1,0))</f>
        <v>Ara</v>
      </c>
      <c r="J846" t="str">
        <f>INDEX(products!$A$1:$G$49,MATCH(orders!$D846,products!$A$1:$A$49,0),MATCH(J$1,products!$A$1:$G$1,0))</f>
        <v>D</v>
      </c>
      <c r="K846" s="6">
        <f>INDEX(products!$A$1:$G$49,MATCH(orders!$D846,products!$A$1:$A$49,0),MATCH(K$1,products!$A$1:$G$1,0))</f>
        <v>0.5</v>
      </c>
      <c r="L846" s="7">
        <f>INDEX(products!$A$1:$G$49,MATCH(orders!$D846,products!$A$1:$A$49,0),MATCH(L$1,products!$A$1:$G$1,0))</f>
        <v>5.97</v>
      </c>
      <c r="M846" s="7">
        <f t="shared" si="39"/>
        <v>35.82</v>
      </c>
      <c r="N846" t="str">
        <f t="shared" si="40"/>
        <v>Arabica</v>
      </c>
      <c r="O846" t="str">
        <f t="shared" si="41"/>
        <v>Dark</v>
      </c>
      <c r="P846" t="str">
        <f>_xlfn.XLOOKUP(Table1[[#This Row],[Customer ID]],customers!$A$2:$A$1001,customers!$I$2:$I$1001,,0)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INDEX(products!$A$1:$G$49,MATCH(orders!$D847,products!$A$1:$A$49,0),MATCH(I$1,products!$A$1:$G$1,0))</f>
        <v>Exc</v>
      </c>
      <c r="J847" t="str">
        <f>INDEX(products!$A$1:$G$49,MATCH(orders!$D847,products!$A$1:$A$49,0),MATCH(J$1,products!$A$1:$G$1,0))</f>
        <v>D</v>
      </c>
      <c r="K847" s="6">
        <f>INDEX(products!$A$1:$G$49,MATCH(orders!$D847,products!$A$1:$A$49,0),MATCH(K$1,products!$A$1:$G$1,0))</f>
        <v>2.5</v>
      </c>
      <c r="L847" s="7">
        <f>INDEX(products!$A$1:$G$49,MATCH(orders!$D847,products!$A$1:$A$49,0),MATCH(L$1,products!$A$1:$G$1,0))</f>
        <v>27.945</v>
      </c>
      <c r="M847" s="7">
        <f t="shared" si="39"/>
        <v>167.67000000000002</v>
      </c>
      <c r="N847" t="str">
        <f t="shared" si="40"/>
        <v>Excelsa</v>
      </c>
      <c r="O847" t="str">
        <f t="shared" si="41"/>
        <v>Dark</v>
      </c>
      <c r="P847" t="str">
        <f>_xlfn.XLOOKUP(Table1[[#This Row],[Customer ID]],customers!$A$2:$A$1001,customers!$I$2:$I$1001,,0)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INDEX(products!$A$1:$G$49,MATCH(orders!$D848,products!$A$1:$A$49,0),MATCH(I$1,products!$A$1:$G$1,0))</f>
        <v>Ara</v>
      </c>
      <c r="J848" t="str">
        <f>INDEX(products!$A$1:$G$49,MATCH(orders!$D848,products!$A$1:$A$49,0),MATCH(J$1,products!$A$1:$G$1,0))</f>
        <v>M</v>
      </c>
      <c r="K848" s="6">
        <f>INDEX(products!$A$1:$G$49,MATCH(orders!$D848,products!$A$1:$A$49,0),MATCH(K$1,products!$A$1:$G$1,0))</f>
        <v>2.5</v>
      </c>
      <c r="L848" s="7">
        <f>INDEX(products!$A$1:$G$49,MATCH(orders!$D848,products!$A$1:$A$49,0),MATCH(L$1,products!$A$1:$G$1,0))</f>
        <v>25.874999999999996</v>
      </c>
      <c r="M848" s="7">
        <f t="shared" si="39"/>
        <v>51.749999999999993</v>
      </c>
      <c r="N848" t="str">
        <f t="shared" si="40"/>
        <v>Arabica</v>
      </c>
      <c r="O848" t="str">
        <f t="shared" si="41"/>
        <v>Medium</v>
      </c>
      <c r="P848" t="str">
        <f>_xlfn.XLOOKUP(Table1[[#This Row],[Customer ID]],customers!$A$2:$A$1001,customers!$I$2:$I$1001,,0)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INDEX(products!$A$1:$G$49,MATCH(orders!$D849,products!$A$1:$A$49,0),MATCH(I$1,products!$A$1:$G$1,0))</f>
        <v>Ara</v>
      </c>
      <c r="J849" t="str">
        <f>INDEX(products!$A$1:$G$49,MATCH(orders!$D849,products!$A$1:$A$49,0),MATCH(J$1,products!$A$1:$G$1,0))</f>
        <v>D</v>
      </c>
      <c r="K849" s="6">
        <f>INDEX(products!$A$1:$G$49,MATCH(orders!$D849,products!$A$1:$A$49,0),MATCH(K$1,products!$A$1:$G$1,0))</f>
        <v>0.2</v>
      </c>
      <c r="L849" s="7">
        <f>INDEX(products!$A$1:$G$49,MATCH(orders!$D849,products!$A$1:$A$49,0),MATCH(L$1,products!$A$1:$G$1,0))</f>
        <v>2.9849999999999999</v>
      </c>
      <c r="M849" s="7">
        <f t="shared" si="39"/>
        <v>8.9550000000000001</v>
      </c>
      <c r="N849" t="str">
        <f t="shared" si="40"/>
        <v>Arabica</v>
      </c>
      <c r="O849" t="str">
        <f t="shared" si="41"/>
        <v>Dark</v>
      </c>
      <c r="P849" t="str">
        <f>_xlfn.XLOOKUP(Table1[[#This Row],[Customer ID]],customers!$A$2:$A$1001,customers!$I$2:$I$1001,,0)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INDEX(products!$A$1:$G$49,MATCH(orders!$D850,products!$A$1:$A$49,0),MATCH(I$1,products!$A$1:$G$1,0))</f>
        <v>Exc</v>
      </c>
      <c r="J850" t="str">
        <f>INDEX(products!$A$1:$G$49,MATCH(orders!$D850,products!$A$1:$A$49,0),MATCH(J$1,products!$A$1:$G$1,0))</f>
        <v>L</v>
      </c>
      <c r="K850" s="6">
        <f>INDEX(products!$A$1:$G$49,MATCH(orders!$D850,products!$A$1:$A$49,0),MATCH(K$1,products!$A$1:$G$1,0))</f>
        <v>0.5</v>
      </c>
      <c r="L850" s="7">
        <f>INDEX(products!$A$1:$G$49,MATCH(orders!$D850,products!$A$1:$A$49,0),MATCH(L$1,products!$A$1:$G$1,0))</f>
        <v>8.91</v>
      </c>
      <c r="M850" s="7">
        <f t="shared" si="39"/>
        <v>53.46</v>
      </c>
      <c r="N850" t="str">
        <f t="shared" si="40"/>
        <v>Excelsa</v>
      </c>
      <c r="O850" t="str">
        <f t="shared" si="41"/>
        <v>Light</v>
      </c>
      <c r="P850" t="str">
        <f>_xlfn.XLOOKUP(Table1[[#This Row],[Customer ID]],customers!$A$2:$A$1001,customers!$I$2:$I$1001,,0)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INDEX(products!$A$1:$G$49,MATCH(orders!$D851,products!$A$1:$A$49,0),MATCH(I$1,products!$A$1:$G$1,0))</f>
        <v>Ara</v>
      </c>
      <c r="J851" t="str">
        <f>INDEX(products!$A$1:$G$49,MATCH(orders!$D851,products!$A$1:$A$49,0),MATCH(J$1,products!$A$1:$G$1,0))</f>
        <v>L</v>
      </c>
      <c r="K851" s="6">
        <f>INDEX(products!$A$1:$G$49,MATCH(orders!$D851,products!$A$1:$A$49,0),MATCH(K$1,products!$A$1:$G$1,0))</f>
        <v>0.2</v>
      </c>
      <c r="L851" s="7">
        <f>INDEX(products!$A$1:$G$49,MATCH(orders!$D851,products!$A$1:$A$49,0),MATCH(L$1,products!$A$1:$G$1,0))</f>
        <v>3.8849999999999998</v>
      </c>
      <c r="M851" s="7">
        <f t="shared" si="39"/>
        <v>23.31</v>
      </c>
      <c r="N851" t="str">
        <f t="shared" si="40"/>
        <v>Arabica</v>
      </c>
      <c r="O851" t="str">
        <f t="shared" si="41"/>
        <v>Light</v>
      </c>
      <c r="P851" t="str">
        <f>_xlfn.XLOOKUP(Table1[[#This Row],[Customer ID]],customers!$A$2:$A$1001,customers!$I$2:$I$1001,,0)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INDEX(products!$A$1:$G$49,MATCH(orders!$D852,products!$A$1:$A$49,0),MATCH(I$1,products!$A$1:$G$1,0))</f>
        <v>Ara</v>
      </c>
      <c r="J852" t="str">
        <f>INDEX(products!$A$1:$G$49,MATCH(orders!$D852,products!$A$1:$A$49,0),MATCH(J$1,products!$A$1:$G$1,0))</f>
        <v>M</v>
      </c>
      <c r="K852" s="6">
        <f>INDEX(products!$A$1:$G$49,MATCH(orders!$D852,products!$A$1:$A$49,0),MATCH(K$1,products!$A$1:$G$1,0))</f>
        <v>0.2</v>
      </c>
      <c r="L852" s="7">
        <f>INDEX(products!$A$1:$G$49,MATCH(orders!$D852,products!$A$1:$A$49,0),MATCH(L$1,products!$A$1:$G$1,0))</f>
        <v>3.375</v>
      </c>
      <c r="M852" s="7">
        <f t="shared" si="39"/>
        <v>6.75</v>
      </c>
      <c r="N852" t="str">
        <f t="shared" si="40"/>
        <v>Arabica</v>
      </c>
      <c r="O852" t="str">
        <f t="shared" si="41"/>
        <v>Medium</v>
      </c>
      <c r="P852" t="str">
        <f>_xlfn.XLOOKUP(Table1[[#This Row],[Customer ID]],customers!$A$2:$A$1001,customers!$I$2:$I$1001,,0)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INDEX(products!$A$1:$G$49,MATCH(orders!$D853,products!$A$1:$A$49,0),MATCH(I$1,products!$A$1:$G$1,0))</f>
        <v>Lib</v>
      </c>
      <c r="J853" t="str">
        <f>INDEX(products!$A$1:$G$49,MATCH(orders!$D853,products!$A$1:$A$49,0),MATCH(J$1,products!$A$1:$G$1,0))</f>
        <v>D</v>
      </c>
      <c r="K853" s="6">
        <f>INDEX(products!$A$1:$G$49,MATCH(orders!$D853,products!$A$1:$A$49,0),MATCH(K$1,products!$A$1:$G$1,0))</f>
        <v>0.5</v>
      </c>
      <c r="L853" s="7">
        <f>INDEX(products!$A$1:$G$49,MATCH(orders!$D853,products!$A$1:$A$49,0),MATCH(L$1,products!$A$1:$G$1,0))</f>
        <v>7.77</v>
      </c>
      <c r="M853" s="7">
        <f t="shared" si="39"/>
        <v>7.77</v>
      </c>
      <c r="N853" t="str">
        <f t="shared" si="40"/>
        <v>Liberica</v>
      </c>
      <c r="O853" t="str">
        <f t="shared" si="41"/>
        <v>Dark</v>
      </c>
      <c r="P853" t="str">
        <f>_xlfn.XLOOKUP(Table1[[#This Row],[Customer ID]],customers!$A$2:$A$1001,customers!$I$2:$I$1001,,0)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INDEX(products!$A$1:$G$49,MATCH(orders!$D854,products!$A$1:$A$49,0),MATCH(I$1,products!$A$1:$G$1,0))</f>
        <v>Lib</v>
      </c>
      <c r="J854" t="str">
        <f>INDEX(products!$A$1:$G$49,MATCH(orders!$D854,products!$A$1:$A$49,0),MATCH(J$1,products!$A$1:$G$1,0))</f>
        <v>D</v>
      </c>
      <c r="K854" s="6">
        <f>INDEX(products!$A$1:$G$49,MATCH(orders!$D854,products!$A$1:$A$49,0),MATCH(K$1,products!$A$1:$G$1,0))</f>
        <v>2.5</v>
      </c>
      <c r="L854" s="7">
        <f>INDEX(products!$A$1:$G$49,MATCH(orders!$D854,products!$A$1:$A$49,0),MATCH(L$1,products!$A$1:$G$1,0))</f>
        <v>29.784999999999997</v>
      </c>
      <c r="M854" s="7">
        <f t="shared" si="39"/>
        <v>119.13999999999999</v>
      </c>
      <c r="N854" t="str">
        <f t="shared" si="40"/>
        <v>Liberica</v>
      </c>
      <c r="O854" t="str">
        <f t="shared" si="41"/>
        <v>Dark</v>
      </c>
      <c r="P854" t="str">
        <f>_xlfn.XLOOKUP(Table1[[#This Row],[Customer ID]],customers!$A$2:$A$1001,customers!$I$2:$I$1001,,0)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INDEX(products!$A$1:$G$49,MATCH(orders!$D855,products!$A$1:$A$49,0),MATCH(I$1,products!$A$1:$G$1,0))</f>
        <v>Ara</v>
      </c>
      <c r="J855" t="str">
        <f>INDEX(products!$A$1:$G$49,MATCH(orders!$D855,products!$A$1:$A$49,0),MATCH(J$1,products!$A$1:$G$1,0))</f>
        <v>D</v>
      </c>
      <c r="K855" s="6">
        <f>INDEX(products!$A$1:$G$49,MATCH(orders!$D855,products!$A$1:$A$49,0),MATCH(K$1,products!$A$1:$G$1,0))</f>
        <v>1</v>
      </c>
      <c r="L855" s="7">
        <f>INDEX(products!$A$1:$G$49,MATCH(orders!$D855,products!$A$1:$A$49,0),MATCH(L$1,products!$A$1:$G$1,0))</f>
        <v>9.9499999999999993</v>
      </c>
      <c r="M855" s="7">
        <f t="shared" si="39"/>
        <v>19.899999999999999</v>
      </c>
      <c r="N855" t="str">
        <f t="shared" si="40"/>
        <v>Arabica</v>
      </c>
      <c r="O855" t="str">
        <f t="shared" si="41"/>
        <v>Dark</v>
      </c>
      <c r="P855" t="str">
        <f>_xlfn.XLOOKUP(Table1[[#This Row],[Customer ID]],customers!$A$2:$A$1001,customers!$I$2:$I$1001,,0)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INDEX(products!$A$1:$G$49,MATCH(orders!$D856,products!$A$1:$A$49,0),MATCH(I$1,products!$A$1:$G$1,0))</f>
        <v>Rob</v>
      </c>
      <c r="J856" t="str">
        <f>INDEX(products!$A$1:$G$49,MATCH(orders!$D856,products!$A$1:$A$49,0),MATCH(J$1,products!$A$1:$G$1,0))</f>
        <v>L</v>
      </c>
      <c r="K856" s="6">
        <f>INDEX(products!$A$1:$G$49,MATCH(orders!$D856,products!$A$1:$A$49,0),MATCH(K$1,products!$A$1:$G$1,0))</f>
        <v>0.5</v>
      </c>
      <c r="L856" s="7">
        <f>INDEX(products!$A$1:$G$49,MATCH(orders!$D856,products!$A$1:$A$49,0),MATCH(L$1,products!$A$1:$G$1,0))</f>
        <v>7.169999999999999</v>
      </c>
      <c r="M856" s="7">
        <f t="shared" si="39"/>
        <v>35.849999999999994</v>
      </c>
      <c r="N856" t="str">
        <f t="shared" si="40"/>
        <v>Robusta</v>
      </c>
      <c r="O856" t="str">
        <f t="shared" si="41"/>
        <v>Light</v>
      </c>
      <c r="P856" t="str">
        <f>_xlfn.XLOOKUP(Table1[[#This Row],[Customer ID]],customers!$A$2:$A$1001,customers!$I$2:$I$1001,,0)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INDEX(products!$A$1:$G$49,MATCH(orders!$D857,products!$A$1:$A$49,0),MATCH(I$1,products!$A$1:$G$1,0))</f>
        <v>Lib</v>
      </c>
      <c r="J857" t="str">
        <f>INDEX(products!$A$1:$G$49,MATCH(orders!$D857,products!$A$1:$A$49,0),MATCH(J$1,products!$A$1:$G$1,0))</f>
        <v>D</v>
      </c>
      <c r="K857" s="6">
        <f>INDEX(products!$A$1:$G$49,MATCH(orders!$D857,products!$A$1:$A$49,0),MATCH(K$1,products!$A$1:$G$1,0))</f>
        <v>2.5</v>
      </c>
      <c r="L857" s="7">
        <f>INDEX(products!$A$1:$G$49,MATCH(orders!$D857,products!$A$1:$A$49,0),MATCH(L$1,products!$A$1:$G$1,0))</f>
        <v>29.784999999999997</v>
      </c>
      <c r="M857" s="7">
        <f t="shared" si="39"/>
        <v>89.35499999999999</v>
      </c>
      <c r="N857" t="str">
        <f t="shared" si="40"/>
        <v>Liberica</v>
      </c>
      <c r="O857" t="str">
        <f t="shared" si="41"/>
        <v>Dark</v>
      </c>
      <c r="P857" t="str">
        <f>_xlfn.XLOOKUP(Table1[[#This Row],[Customer ID]],customers!$A$2:$A$1001,customers!$I$2:$I$1001,,0)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INDEX(products!$A$1:$G$49,MATCH(orders!$D858,products!$A$1:$A$49,0),MATCH(I$1,products!$A$1:$G$1,0))</f>
        <v>Lib</v>
      </c>
      <c r="J858" t="str">
        <f>INDEX(products!$A$1:$G$49,MATCH(orders!$D858,products!$A$1:$A$49,0),MATCH(J$1,products!$A$1:$G$1,0))</f>
        <v>M</v>
      </c>
      <c r="K858" s="6">
        <f>INDEX(products!$A$1:$G$49,MATCH(orders!$D858,products!$A$1:$A$49,0),MATCH(K$1,products!$A$1:$G$1,0))</f>
        <v>0.2</v>
      </c>
      <c r="L858" s="7">
        <f>INDEX(products!$A$1:$G$49,MATCH(orders!$D858,products!$A$1:$A$49,0),MATCH(L$1,products!$A$1:$G$1,0))</f>
        <v>4.3650000000000002</v>
      </c>
      <c r="M858" s="7">
        <f t="shared" si="39"/>
        <v>8.73</v>
      </c>
      <c r="N858" t="str">
        <f t="shared" si="40"/>
        <v>Liberica</v>
      </c>
      <c r="O858" t="str">
        <f t="shared" si="41"/>
        <v>Medium</v>
      </c>
      <c r="P858" t="str">
        <f>_xlfn.XLOOKUP(Table1[[#This Row],[Customer ID]],customers!$A$2:$A$1001,customers!$I$2:$I$1001,,0)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INDEX(products!$A$1:$G$49,MATCH(orders!$D859,products!$A$1:$A$49,0),MATCH(I$1,products!$A$1:$G$1,0))</f>
        <v>Rob</v>
      </c>
      <c r="J859" t="str">
        <f>INDEX(products!$A$1:$G$49,MATCH(orders!$D859,products!$A$1:$A$49,0),MATCH(J$1,products!$A$1:$G$1,0))</f>
        <v>L</v>
      </c>
      <c r="K859" s="6">
        <f>INDEX(products!$A$1:$G$49,MATCH(orders!$D859,products!$A$1:$A$49,0),MATCH(K$1,products!$A$1:$G$1,0))</f>
        <v>2.5</v>
      </c>
      <c r="L859" s="7">
        <f>INDEX(products!$A$1:$G$49,MATCH(orders!$D859,products!$A$1:$A$49,0),MATCH(L$1,products!$A$1:$G$1,0))</f>
        <v>27.484999999999996</v>
      </c>
      <c r="M859" s="7">
        <f t="shared" si="39"/>
        <v>137.42499999999998</v>
      </c>
      <c r="N859" t="str">
        <f t="shared" si="40"/>
        <v>Robusta</v>
      </c>
      <c r="O859" t="str">
        <f t="shared" si="41"/>
        <v>Light</v>
      </c>
      <c r="P859" t="str">
        <f>_xlfn.XLOOKUP(Table1[[#This Row],[Customer ID]],customers!$A$2:$A$1001,customers!$I$2:$I$1001,,0)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INDEX(products!$A$1:$G$49,MATCH(orders!$D860,products!$A$1:$A$49,0),MATCH(I$1,products!$A$1:$G$1,0))</f>
        <v>Lib</v>
      </c>
      <c r="J860" t="str">
        <f>INDEX(products!$A$1:$G$49,MATCH(orders!$D860,products!$A$1:$A$49,0),MATCH(J$1,products!$A$1:$G$1,0))</f>
        <v>M</v>
      </c>
      <c r="K860" s="6">
        <f>INDEX(products!$A$1:$G$49,MATCH(orders!$D860,products!$A$1:$A$49,0),MATCH(K$1,products!$A$1:$G$1,0))</f>
        <v>0.5</v>
      </c>
      <c r="L860" s="7">
        <f>INDEX(products!$A$1:$G$49,MATCH(orders!$D860,products!$A$1:$A$49,0),MATCH(L$1,products!$A$1:$G$1,0))</f>
        <v>8.73</v>
      </c>
      <c r="M860" s="7">
        <f t="shared" si="39"/>
        <v>34.92</v>
      </c>
      <c r="N860" t="str">
        <f t="shared" si="40"/>
        <v>Liberica</v>
      </c>
      <c r="O860" t="str">
        <f t="shared" si="41"/>
        <v>Medium</v>
      </c>
      <c r="P860" t="str">
        <f>_xlfn.XLOOKUP(Table1[[#This Row],[Customer ID]],customers!$A$2:$A$1001,customers!$I$2:$I$1001,,0)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INDEX(products!$A$1:$G$49,MATCH(orders!$D861,products!$A$1:$A$49,0),MATCH(I$1,products!$A$1:$G$1,0))</f>
        <v>Ara</v>
      </c>
      <c r="J861" t="str">
        <f>INDEX(products!$A$1:$G$49,MATCH(orders!$D861,products!$A$1:$A$49,0),MATCH(J$1,products!$A$1:$G$1,0))</f>
        <v>L</v>
      </c>
      <c r="K861" s="6">
        <f>INDEX(products!$A$1:$G$49,MATCH(orders!$D861,products!$A$1:$A$49,0),MATCH(K$1,products!$A$1:$G$1,0))</f>
        <v>2.5</v>
      </c>
      <c r="L861" s="7">
        <f>INDEX(products!$A$1:$G$49,MATCH(orders!$D861,products!$A$1:$A$49,0),MATCH(L$1,products!$A$1:$G$1,0))</f>
        <v>29.784999999999997</v>
      </c>
      <c r="M861" s="7">
        <f t="shared" si="39"/>
        <v>178.70999999999998</v>
      </c>
      <c r="N861" t="str">
        <f t="shared" si="40"/>
        <v>Arabica</v>
      </c>
      <c r="O861" t="str">
        <f t="shared" si="41"/>
        <v>Light</v>
      </c>
      <c r="P861" t="str">
        <f>_xlfn.XLOOKUP(Table1[[#This Row],[Customer ID]],customers!$A$2:$A$1001,customers!$I$2:$I$1001,,0)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INDEX(products!$A$1:$G$49,MATCH(orders!$D862,products!$A$1:$A$49,0),MATCH(I$1,products!$A$1:$G$1,0))</f>
        <v>Ara</v>
      </c>
      <c r="J862" t="str">
        <f>INDEX(products!$A$1:$G$49,MATCH(orders!$D862,products!$A$1:$A$49,0),MATCH(J$1,products!$A$1:$G$1,0))</f>
        <v>M</v>
      </c>
      <c r="K862" s="6">
        <f>INDEX(products!$A$1:$G$49,MATCH(orders!$D862,products!$A$1:$A$49,0),MATCH(K$1,products!$A$1:$G$1,0))</f>
        <v>2.5</v>
      </c>
      <c r="L862" s="7">
        <f>INDEX(products!$A$1:$G$49,MATCH(orders!$D862,products!$A$1:$A$49,0),MATCH(L$1,products!$A$1:$G$1,0))</f>
        <v>25.874999999999996</v>
      </c>
      <c r="M862" s="7">
        <f t="shared" si="39"/>
        <v>25.874999999999996</v>
      </c>
      <c r="N862" t="str">
        <f t="shared" si="40"/>
        <v>Arabica</v>
      </c>
      <c r="O862" t="str">
        <f t="shared" si="41"/>
        <v>Medium</v>
      </c>
      <c r="P862" t="str">
        <f>_xlfn.XLOOKUP(Table1[[#This Row],[Customer ID]],customers!$A$2:$A$1001,customers!$I$2:$I$1001,,0)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INDEX(products!$A$1:$G$49,MATCH(orders!$D863,products!$A$1:$A$49,0),MATCH(I$1,products!$A$1:$G$1,0))</f>
        <v>Lib</v>
      </c>
      <c r="J863" t="str">
        <f>INDEX(products!$A$1:$G$49,MATCH(orders!$D863,products!$A$1:$A$49,0),MATCH(J$1,products!$A$1:$G$1,0))</f>
        <v>D</v>
      </c>
      <c r="K863" s="6">
        <f>INDEX(products!$A$1:$G$49,MATCH(orders!$D863,products!$A$1:$A$49,0),MATCH(K$1,products!$A$1:$G$1,0))</f>
        <v>1</v>
      </c>
      <c r="L863" s="7">
        <f>INDEX(products!$A$1:$G$49,MATCH(orders!$D863,products!$A$1:$A$49,0),MATCH(L$1,products!$A$1:$G$1,0))</f>
        <v>12.95</v>
      </c>
      <c r="M863" s="7">
        <f t="shared" si="39"/>
        <v>77.699999999999989</v>
      </c>
      <c r="N863" t="str">
        <f t="shared" si="40"/>
        <v>Liberica</v>
      </c>
      <c r="O863" t="str">
        <f t="shared" si="41"/>
        <v>Dark</v>
      </c>
      <c r="P863" t="str">
        <f>_xlfn.XLOOKUP(Table1[[#This Row],[Customer ID]],customers!$A$2:$A$1001,customers!$I$2:$I$1001,,0)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INDEX(products!$A$1:$G$49,MATCH(orders!$D864,products!$A$1:$A$49,0),MATCH(I$1,products!$A$1:$G$1,0))</f>
        <v>Rob</v>
      </c>
      <c r="J864" t="str">
        <f>INDEX(products!$A$1:$G$49,MATCH(orders!$D864,products!$A$1:$A$49,0),MATCH(J$1,products!$A$1:$G$1,0))</f>
        <v>M</v>
      </c>
      <c r="K864" s="6">
        <f>INDEX(products!$A$1:$G$49,MATCH(orders!$D864,products!$A$1:$A$49,0),MATCH(K$1,products!$A$1:$G$1,0))</f>
        <v>1</v>
      </c>
      <c r="L864" s="7">
        <f>INDEX(products!$A$1:$G$49,MATCH(orders!$D864,products!$A$1:$A$49,0),MATCH(L$1,products!$A$1:$G$1,0))</f>
        <v>9.9499999999999993</v>
      </c>
      <c r="M864" s="7">
        <f t="shared" si="39"/>
        <v>9.9499999999999993</v>
      </c>
      <c r="N864" t="str">
        <f t="shared" si="40"/>
        <v>Robusta</v>
      </c>
      <c r="O864" t="str">
        <f t="shared" si="41"/>
        <v>Medium</v>
      </c>
      <c r="P864" t="str">
        <f>_xlfn.XLOOKUP(Table1[[#This Row],[Customer ID]],customers!$A$2:$A$1001,customers!$I$2:$I$1001,,0)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INDEX(products!$A$1:$G$49,MATCH(orders!$D865,products!$A$1:$A$49,0),MATCH(I$1,products!$A$1:$G$1,0))</f>
        <v>Lib</v>
      </c>
      <c r="J865" t="str">
        <f>INDEX(products!$A$1:$G$49,MATCH(orders!$D865,products!$A$1:$A$49,0),MATCH(J$1,products!$A$1:$G$1,0))</f>
        <v>M</v>
      </c>
      <c r="K865" s="6">
        <f>INDEX(products!$A$1:$G$49,MATCH(orders!$D865,products!$A$1:$A$49,0),MATCH(K$1,products!$A$1:$G$1,0))</f>
        <v>1</v>
      </c>
      <c r="L865" s="7">
        <f>INDEX(products!$A$1:$G$49,MATCH(orders!$D865,products!$A$1:$A$49,0),MATCH(L$1,products!$A$1:$G$1,0))</f>
        <v>14.55</v>
      </c>
      <c r="M865" s="7">
        <f t="shared" si="39"/>
        <v>29.1</v>
      </c>
      <c r="N865" t="str">
        <f t="shared" si="40"/>
        <v>Liberica</v>
      </c>
      <c r="O865" t="str">
        <f t="shared" si="41"/>
        <v>Medium</v>
      </c>
      <c r="P865" t="str">
        <f>_xlfn.XLOOKUP(Table1[[#This Row],[Customer ID]],customers!$A$2:$A$1001,customers!$I$2:$I$1001,,0)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INDEX(products!$A$1:$G$49,MATCH(orders!$D866,products!$A$1:$A$49,0),MATCH(I$1,products!$A$1:$G$1,0))</f>
        <v>Rob</v>
      </c>
      <c r="J866" t="str">
        <f>INDEX(products!$A$1:$G$49,MATCH(orders!$D866,products!$A$1:$A$49,0),MATCH(J$1,products!$A$1:$G$1,0))</f>
        <v>L</v>
      </c>
      <c r="K866" s="6">
        <f>INDEX(products!$A$1:$G$49,MATCH(orders!$D866,products!$A$1:$A$49,0),MATCH(K$1,products!$A$1:$G$1,0))</f>
        <v>0.2</v>
      </c>
      <c r="L866" s="7">
        <f>INDEX(products!$A$1:$G$49,MATCH(orders!$D866,products!$A$1:$A$49,0),MATCH(L$1,products!$A$1:$G$1,0))</f>
        <v>3.5849999999999995</v>
      </c>
      <c r="M866" s="7">
        <f t="shared" si="39"/>
        <v>21.509999999999998</v>
      </c>
      <c r="N866" t="str">
        <f t="shared" si="40"/>
        <v>Robusta</v>
      </c>
      <c r="O866" t="str">
        <f t="shared" si="41"/>
        <v>Light</v>
      </c>
      <c r="P866" t="str">
        <f>_xlfn.XLOOKUP(Table1[[#This Row],[Customer ID]],customers!$A$2:$A$1001,customers!$I$2:$I$1001,,0)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INDEX(products!$A$1:$G$49,MATCH(orders!$D867,products!$A$1:$A$49,0),MATCH(I$1,products!$A$1:$G$1,0))</f>
        <v>Ara</v>
      </c>
      <c r="J867" t="str">
        <f>INDEX(products!$A$1:$G$49,MATCH(orders!$D867,products!$A$1:$A$49,0),MATCH(J$1,products!$A$1:$G$1,0))</f>
        <v>M</v>
      </c>
      <c r="K867" s="6">
        <f>INDEX(products!$A$1:$G$49,MATCH(orders!$D867,products!$A$1:$A$49,0),MATCH(K$1,products!$A$1:$G$1,0))</f>
        <v>0.5</v>
      </c>
      <c r="L867" s="7">
        <f>INDEX(products!$A$1:$G$49,MATCH(orders!$D867,products!$A$1:$A$49,0),MATCH(L$1,products!$A$1:$G$1,0))</f>
        <v>6.75</v>
      </c>
      <c r="M867" s="7">
        <f t="shared" si="39"/>
        <v>6.75</v>
      </c>
      <c r="N867" t="str">
        <f t="shared" si="40"/>
        <v>Arabica</v>
      </c>
      <c r="O867" t="str">
        <f t="shared" si="41"/>
        <v>Medium</v>
      </c>
      <c r="P867" t="str">
        <f>_xlfn.XLOOKUP(Table1[[#This Row],[Customer ID]],customers!$A$2:$A$1001,customers!$I$2:$I$1001,,0)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INDEX(products!$A$1:$G$49,MATCH(orders!$D868,products!$A$1:$A$49,0),MATCH(I$1,products!$A$1:$G$1,0))</f>
        <v>Ara</v>
      </c>
      <c r="J868" t="str">
        <f>INDEX(products!$A$1:$G$49,MATCH(orders!$D868,products!$A$1:$A$49,0),MATCH(J$1,products!$A$1:$G$1,0))</f>
        <v>D</v>
      </c>
      <c r="K868" s="6">
        <f>INDEX(products!$A$1:$G$49,MATCH(orders!$D868,products!$A$1:$A$49,0),MATCH(K$1,products!$A$1:$G$1,0))</f>
        <v>0.5</v>
      </c>
      <c r="L868" s="7">
        <f>INDEX(products!$A$1:$G$49,MATCH(orders!$D868,products!$A$1:$A$49,0),MATCH(L$1,products!$A$1:$G$1,0))</f>
        <v>5.97</v>
      </c>
      <c r="M868" s="7">
        <f t="shared" si="39"/>
        <v>17.91</v>
      </c>
      <c r="N868" t="str">
        <f t="shared" si="40"/>
        <v>Arabica</v>
      </c>
      <c r="O868" t="str">
        <f t="shared" si="41"/>
        <v>Dark</v>
      </c>
      <c r="P868" t="str">
        <f>_xlfn.XLOOKUP(Table1[[#This Row],[Customer ID]],customers!$A$2:$A$1001,customers!$I$2:$I$1001,,0)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INDEX(products!$A$1:$G$49,MATCH(orders!$D869,products!$A$1:$A$49,0),MATCH(I$1,products!$A$1:$G$1,0))</f>
        <v>Ara</v>
      </c>
      <c r="J869" t="str">
        <f>INDEX(products!$A$1:$G$49,MATCH(orders!$D869,products!$A$1:$A$49,0),MATCH(J$1,products!$A$1:$G$1,0))</f>
        <v>L</v>
      </c>
      <c r="K869" s="6">
        <f>INDEX(products!$A$1:$G$49,MATCH(orders!$D869,products!$A$1:$A$49,0),MATCH(K$1,products!$A$1:$G$1,0))</f>
        <v>2.5</v>
      </c>
      <c r="L869" s="7">
        <f>INDEX(products!$A$1:$G$49,MATCH(orders!$D869,products!$A$1:$A$49,0),MATCH(L$1,products!$A$1:$G$1,0))</f>
        <v>29.784999999999997</v>
      </c>
      <c r="M869" s="7">
        <f t="shared" si="39"/>
        <v>29.784999999999997</v>
      </c>
      <c r="N869" t="str">
        <f t="shared" si="40"/>
        <v>Arabica</v>
      </c>
      <c r="O869" t="str">
        <f t="shared" si="41"/>
        <v>Light</v>
      </c>
      <c r="P869" t="str">
        <f>_xlfn.XLOOKUP(Table1[[#This Row],[Customer ID]],customers!$A$2:$A$1001,customers!$I$2:$I$1001,,0)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INDEX(products!$A$1:$G$49,MATCH(orders!$D870,products!$A$1:$A$49,0),MATCH(I$1,products!$A$1:$G$1,0))</f>
        <v>Exc</v>
      </c>
      <c r="J870" t="str">
        <f>INDEX(products!$A$1:$G$49,MATCH(orders!$D870,products!$A$1:$A$49,0),MATCH(J$1,products!$A$1:$G$1,0))</f>
        <v>M</v>
      </c>
      <c r="K870" s="6">
        <f>INDEX(products!$A$1:$G$49,MATCH(orders!$D870,products!$A$1:$A$49,0),MATCH(K$1,products!$A$1:$G$1,0))</f>
        <v>0.5</v>
      </c>
      <c r="L870" s="7">
        <f>INDEX(products!$A$1:$G$49,MATCH(orders!$D870,products!$A$1:$A$49,0),MATCH(L$1,products!$A$1:$G$1,0))</f>
        <v>8.25</v>
      </c>
      <c r="M870" s="7">
        <f t="shared" si="39"/>
        <v>41.25</v>
      </c>
      <c r="N870" t="str">
        <f t="shared" si="40"/>
        <v>Excelsa</v>
      </c>
      <c r="O870" t="str">
        <f t="shared" si="41"/>
        <v>Medium</v>
      </c>
      <c r="P870" t="str">
        <f>_xlfn.XLOOKUP(Table1[[#This Row],[Customer ID]],customers!$A$2:$A$1001,customers!$I$2:$I$1001,,0)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INDEX(products!$A$1:$G$49,MATCH(orders!$D871,products!$A$1:$A$49,0),MATCH(I$1,products!$A$1:$G$1,0))</f>
        <v>Rob</v>
      </c>
      <c r="J871" t="str">
        <f>INDEX(products!$A$1:$G$49,MATCH(orders!$D871,products!$A$1:$A$49,0),MATCH(J$1,products!$A$1:$G$1,0))</f>
        <v>M</v>
      </c>
      <c r="K871" s="6">
        <f>INDEX(products!$A$1:$G$49,MATCH(orders!$D871,products!$A$1:$A$49,0),MATCH(K$1,products!$A$1:$G$1,0))</f>
        <v>0.5</v>
      </c>
      <c r="L871" s="7">
        <f>INDEX(products!$A$1:$G$49,MATCH(orders!$D871,products!$A$1:$A$49,0),MATCH(L$1,products!$A$1:$G$1,0))</f>
        <v>5.97</v>
      </c>
      <c r="M871" s="7">
        <f t="shared" si="39"/>
        <v>17.91</v>
      </c>
      <c r="N871" t="str">
        <f t="shared" si="40"/>
        <v>Robusta</v>
      </c>
      <c r="O871" t="str">
        <f t="shared" si="41"/>
        <v>Medium</v>
      </c>
      <c r="P871" t="str">
        <f>_xlfn.XLOOKUP(Table1[[#This Row],[Customer ID]],customers!$A$2:$A$1001,customers!$I$2:$I$1001,,0)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INDEX(products!$A$1:$G$49,MATCH(orders!$D872,products!$A$1:$A$49,0),MATCH(I$1,products!$A$1:$G$1,0))</f>
        <v>Exc</v>
      </c>
      <c r="J872" t="str">
        <f>INDEX(products!$A$1:$G$49,MATCH(orders!$D872,products!$A$1:$A$49,0),MATCH(J$1,products!$A$1:$G$1,0))</f>
        <v>D</v>
      </c>
      <c r="K872" s="6">
        <f>INDEX(products!$A$1:$G$49,MATCH(orders!$D872,products!$A$1:$A$49,0),MATCH(K$1,products!$A$1:$G$1,0))</f>
        <v>0.5</v>
      </c>
      <c r="L872" s="7">
        <f>INDEX(products!$A$1:$G$49,MATCH(orders!$D872,products!$A$1:$A$49,0),MATCH(L$1,products!$A$1:$G$1,0))</f>
        <v>7.29</v>
      </c>
      <c r="M872" s="7">
        <f t="shared" si="39"/>
        <v>7.29</v>
      </c>
      <c r="N872" t="str">
        <f t="shared" si="40"/>
        <v>Excelsa</v>
      </c>
      <c r="O872" t="str">
        <f t="shared" si="41"/>
        <v>Dark</v>
      </c>
      <c r="P872" t="str">
        <f>_xlfn.XLOOKUP(Table1[[#This Row],[Customer ID]],customers!$A$2:$A$1001,customers!$I$2:$I$1001,,0)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INDEX(products!$A$1:$G$49,MATCH(orders!$D873,products!$A$1:$A$49,0),MATCH(I$1,products!$A$1:$G$1,0))</f>
        <v>Exc</v>
      </c>
      <c r="J873" t="str">
        <f>INDEX(products!$A$1:$G$49,MATCH(orders!$D873,products!$A$1:$A$49,0),MATCH(J$1,products!$A$1:$G$1,0))</f>
        <v>L</v>
      </c>
      <c r="K873" s="6">
        <f>INDEX(products!$A$1:$G$49,MATCH(orders!$D873,products!$A$1:$A$49,0),MATCH(K$1,products!$A$1:$G$1,0))</f>
        <v>1</v>
      </c>
      <c r="L873" s="7">
        <f>INDEX(products!$A$1:$G$49,MATCH(orders!$D873,products!$A$1:$A$49,0),MATCH(L$1,products!$A$1:$G$1,0))</f>
        <v>14.85</v>
      </c>
      <c r="M873" s="7">
        <f t="shared" si="39"/>
        <v>29.7</v>
      </c>
      <c r="N873" t="str">
        <f t="shared" si="40"/>
        <v>Excelsa</v>
      </c>
      <c r="O873" t="str">
        <f t="shared" si="41"/>
        <v>Light</v>
      </c>
      <c r="P873" t="str">
        <f>_xlfn.XLOOKUP(Table1[[#This Row],[Customer ID]],customers!$A$2:$A$1001,customers!$I$2:$I$1001,,0)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INDEX(products!$A$1:$G$49,MATCH(orders!$D874,products!$A$1:$A$49,0),MATCH(I$1,products!$A$1:$G$1,0))</f>
        <v>Ara</v>
      </c>
      <c r="J874" t="str">
        <f>INDEX(products!$A$1:$G$49,MATCH(orders!$D874,products!$A$1:$A$49,0),MATCH(J$1,products!$A$1:$G$1,0))</f>
        <v>M</v>
      </c>
      <c r="K874" s="6">
        <f>INDEX(products!$A$1:$G$49,MATCH(orders!$D874,products!$A$1:$A$49,0),MATCH(K$1,products!$A$1:$G$1,0))</f>
        <v>1</v>
      </c>
      <c r="L874" s="7">
        <f>INDEX(products!$A$1:$G$49,MATCH(orders!$D874,products!$A$1:$A$49,0),MATCH(L$1,products!$A$1:$G$1,0))</f>
        <v>11.25</v>
      </c>
      <c r="M874" s="7">
        <f t="shared" si="39"/>
        <v>22.5</v>
      </c>
      <c r="N874" t="str">
        <f t="shared" si="40"/>
        <v>Arabica</v>
      </c>
      <c r="O874" t="str">
        <f t="shared" si="41"/>
        <v>Medium</v>
      </c>
      <c r="P874" t="str">
        <f>_xlfn.XLOOKUP(Table1[[#This Row],[Customer ID]],customers!$A$2:$A$1001,customers!$I$2:$I$1001,,0)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INDEX(products!$A$1:$G$49,MATCH(orders!$D875,products!$A$1:$A$49,0),MATCH(I$1,products!$A$1:$G$1,0))</f>
        <v>Rob</v>
      </c>
      <c r="J875" t="str">
        <f>INDEX(products!$A$1:$G$49,MATCH(orders!$D875,products!$A$1:$A$49,0),MATCH(J$1,products!$A$1:$G$1,0))</f>
        <v>M</v>
      </c>
      <c r="K875" s="6">
        <f>INDEX(products!$A$1:$G$49,MATCH(orders!$D875,products!$A$1:$A$49,0),MATCH(K$1,products!$A$1:$G$1,0))</f>
        <v>0.2</v>
      </c>
      <c r="L875" s="7">
        <f>INDEX(products!$A$1:$G$49,MATCH(orders!$D875,products!$A$1:$A$49,0),MATCH(L$1,products!$A$1:$G$1,0))</f>
        <v>2.9849999999999999</v>
      </c>
      <c r="M875" s="7">
        <f t="shared" si="39"/>
        <v>11.94</v>
      </c>
      <c r="N875" t="str">
        <f t="shared" si="40"/>
        <v>Robusta</v>
      </c>
      <c r="O875" t="str">
        <f t="shared" si="41"/>
        <v>Medium</v>
      </c>
      <c r="P875" t="str">
        <f>_xlfn.XLOOKUP(Table1[[#This Row],[Customer ID]],customers!$A$2:$A$1001,customers!$I$2:$I$1001,,0)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INDEX(products!$A$1:$G$49,MATCH(orders!$D876,products!$A$1:$A$49,0),MATCH(I$1,products!$A$1:$G$1,0))</f>
        <v>Ara</v>
      </c>
      <c r="J876" t="str">
        <f>INDEX(products!$A$1:$G$49,MATCH(orders!$D876,products!$A$1:$A$49,0),MATCH(J$1,products!$A$1:$G$1,0))</f>
        <v>L</v>
      </c>
      <c r="K876" s="6">
        <f>INDEX(products!$A$1:$G$49,MATCH(orders!$D876,products!$A$1:$A$49,0),MATCH(K$1,products!$A$1:$G$1,0))</f>
        <v>1</v>
      </c>
      <c r="L876" s="7">
        <f>INDEX(products!$A$1:$G$49,MATCH(orders!$D876,products!$A$1:$A$49,0),MATCH(L$1,products!$A$1:$G$1,0))</f>
        <v>12.95</v>
      </c>
      <c r="M876" s="7">
        <f t="shared" si="39"/>
        <v>25.9</v>
      </c>
      <c r="N876" t="str">
        <f t="shared" si="40"/>
        <v>Arabica</v>
      </c>
      <c r="O876" t="str">
        <f t="shared" si="41"/>
        <v>Light</v>
      </c>
      <c r="P876" t="str">
        <f>_xlfn.XLOOKUP(Table1[[#This Row],[Customer ID]],customers!$A$2:$A$1001,customers!$I$2:$I$1001,,0)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INDEX(products!$A$1:$G$49,MATCH(orders!$D877,products!$A$1:$A$49,0),MATCH(I$1,products!$A$1:$G$1,0))</f>
        <v>Lib</v>
      </c>
      <c r="J877" t="str">
        <f>INDEX(products!$A$1:$G$49,MATCH(orders!$D877,products!$A$1:$A$49,0),MATCH(J$1,products!$A$1:$G$1,0))</f>
        <v>M</v>
      </c>
      <c r="K877" s="6">
        <f>INDEX(products!$A$1:$G$49,MATCH(orders!$D877,products!$A$1:$A$49,0),MATCH(K$1,products!$A$1:$G$1,0))</f>
        <v>0.5</v>
      </c>
      <c r="L877" s="7">
        <f>INDEX(products!$A$1:$G$49,MATCH(orders!$D877,products!$A$1:$A$49,0),MATCH(L$1,products!$A$1:$G$1,0))</f>
        <v>8.73</v>
      </c>
      <c r="M877" s="7">
        <f t="shared" si="39"/>
        <v>43.650000000000006</v>
      </c>
      <c r="N877" t="str">
        <f t="shared" si="40"/>
        <v>Liberica</v>
      </c>
      <c r="O877" t="str">
        <f t="shared" si="41"/>
        <v>Medium</v>
      </c>
      <c r="P877" t="str">
        <f>_xlfn.XLOOKUP(Table1[[#This Row],[Customer ID]],customers!$A$2:$A$1001,customers!$I$2:$I$1001,,0)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INDEX(products!$A$1:$G$49,MATCH(orders!$D878,products!$A$1:$A$49,0),MATCH(I$1,products!$A$1:$G$1,0))</f>
        <v>Ara</v>
      </c>
      <c r="J878" t="str">
        <f>INDEX(products!$A$1:$G$49,MATCH(orders!$D878,products!$A$1:$A$49,0),MATCH(J$1,products!$A$1:$G$1,0))</f>
        <v>L</v>
      </c>
      <c r="K878" s="6">
        <f>INDEX(products!$A$1:$G$49,MATCH(orders!$D878,products!$A$1:$A$49,0),MATCH(K$1,products!$A$1:$G$1,0))</f>
        <v>0.5</v>
      </c>
      <c r="L878" s="7">
        <f>INDEX(products!$A$1:$G$49,MATCH(orders!$D878,products!$A$1:$A$49,0),MATCH(L$1,products!$A$1:$G$1,0))</f>
        <v>7.77</v>
      </c>
      <c r="M878" s="7">
        <f t="shared" si="39"/>
        <v>46.62</v>
      </c>
      <c r="N878" t="str">
        <f t="shared" si="40"/>
        <v>Arabica</v>
      </c>
      <c r="O878" t="str">
        <f t="shared" si="41"/>
        <v>Light</v>
      </c>
      <c r="P878" t="str">
        <f>_xlfn.XLOOKUP(Table1[[#This Row],[Customer ID]],customers!$A$2:$A$1001,customers!$I$2:$I$1001,,0)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INDEX(products!$A$1:$G$49,MATCH(orders!$D879,products!$A$1:$A$49,0),MATCH(I$1,products!$A$1:$G$1,0))</f>
        <v>Lib</v>
      </c>
      <c r="J879" t="str">
        <f>INDEX(products!$A$1:$G$49,MATCH(orders!$D879,products!$A$1:$A$49,0),MATCH(J$1,products!$A$1:$G$1,0))</f>
        <v>L</v>
      </c>
      <c r="K879" s="6">
        <f>INDEX(products!$A$1:$G$49,MATCH(orders!$D879,products!$A$1:$A$49,0),MATCH(K$1,products!$A$1:$G$1,0))</f>
        <v>0.5</v>
      </c>
      <c r="L879" s="7">
        <f>INDEX(products!$A$1:$G$49,MATCH(orders!$D879,products!$A$1:$A$49,0),MATCH(L$1,products!$A$1:$G$1,0))</f>
        <v>9.51</v>
      </c>
      <c r="M879" s="7">
        <f t="shared" si="39"/>
        <v>28.53</v>
      </c>
      <c r="N879" t="str">
        <f t="shared" si="40"/>
        <v>Liberica</v>
      </c>
      <c r="O879" t="str">
        <f t="shared" si="41"/>
        <v>Light</v>
      </c>
      <c r="P879" t="str">
        <f>_xlfn.XLOOKUP(Table1[[#This Row],[Customer ID]],customers!$A$2:$A$1001,customers!$I$2:$I$1001,,0)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INDEX(products!$A$1:$G$49,MATCH(orders!$D880,products!$A$1:$A$49,0),MATCH(I$1,products!$A$1:$G$1,0))</f>
        <v>Rob</v>
      </c>
      <c r="J880" t="str">
        <f>INDEX(products!$A$1:$G$49,MATCH(orders!$D880,products!$A$1:$A$49,0),MATCH(J$1,products!$A$1:$G$1,0))</f>
        <v>L</v>
      </c>
      <c r="K880" s="6">
        <f>INDEX(products!$A$1:$G$49,MATCH(orders!$D880,products!$A$1:$A$49,0),MATCH(K$1,products!$A$1:$G$1,0))</f>
        <v>2.5</v>
      </c>
      <c r="L880" s="7">
        <f>INDEX(products!$A$1:$G$49,MATCH(orders!$D880,products!$A$1:$A$49,0),MATCH(L$1,products!$A$1:$G$1,0))</f>
        <v>27.484999999999996</v>
      </c>
      <c r="M880" s="7">
        <f t="shared" si="39"/>
        <v>27.484999999999996</v>
      </c>
      <c r="N880" t="str">
        <f t="shared" si="40"/>
        <v>Robusta</v>
      </c>
      <c r="O880" t="str">
        <f t="shared" si="41"/>
        <v>Light</v>
      </c>
      <c r="P880" t="str">
        <f>_xlfn.XLOOKUP(Table1[[#This Row],[Customer ID]],customers!$A$2:$A$1001,customers!$I$2:$I$1001,,0)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INDEX(products!$A$1:$G$49,MATCH(orders!$D881,products!$A$1:$A$49,0),MATCH(I$1,products!$A$1:$G$1,0))</f>
        <v>Exc</v>
      </c>
      <c r="J881" t="str">
        <f>INDEX(products!$A$1:$G$49,MATCH(orders!$D881,products!$A$1:$A$49,0),MATCH(J$1,products!$A$1:$G$1,0))</f>
        <v>D</v>
      </c>
      <c r="K881" s="6">
        <f>INDEX(products!$A$1:$G$49,MATCH(orders!$D881,products!$A$1:$A$49,0),MATCH(K$1,products!$A$1:$G$1,0))</f>
        <v>0.2</v>
      </c>
      <c r="L881" s="7">
        <f>INDEX(products!$A$1:$G$49,MATCH(orders!$D881,products!$A$1:$A$49,0),MATCH(L$1,products!$A$1:$G$1,0))</f>
        <v>3.645</v>
      </c>
      <c r="M881" s="7">
        <f t="shared" si="39"/>
        <v>10.935</v>
      </c>
      <c r="N881" t="str">
        <f t="shared" si="40"/>
        <v>Excelsa</v>
      </c>
      <c r="O881" t="str">
        <f t="shared" si="41"/>
        <v>Dark</v>
      </c>
      <c r="P881" t="str">
        <f>_xlfn.XLOOKUP(Table1[[#This Row],[Customer ID]],customers!$A$2:$A$1001,customers!$I$2:$I$1001,,0)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INDEX(products!$A$1:$G$49,MATCH(orders!$D882,products!$A$1:$A$49,0),MATCH(I$1,products!$A$1:$G$1,0))</f>
        <v>Rob</v>
      </c>
      <c r="J882" t="str">
        <f>INDEX(products!$A$1:$G$49,MATCH(orders!$D882,products!$A$1:$A$49,0),MATCH(J$1,products!$A$1:$G$1,0))</f>
        <v>L</v>
      </c>
      <c r="K882" s="6">
        <f>INDEX(products!$A$1:$G$49,MATCH(orders!$D882,products!$A$1:$A$49,0),MATCH(K$1,products!$A$1:$G$1,0))</f>
        <v>0.2</v>
      </c>
      <c r="L882" s="7">
        <f>INDEX(products!$A$1:$G$49,MATCH(orders!$D882,products!$A$1:$A$49,0),MATCH(L$1,products!$A$1:$G$1,0))</f>
        <v>3.5849999999999995</v>
      </c>
      <c r="M882" s="7">
        <f t="shared" si="39"/>
        <v>7.169999999999999</v>
      </c>
      <c r="N882" t="str">
        <f t="shared" si="40"/>
        <v>Robusta</v>
      </c>
      <c r="O882" t="str">
        <f t="shared" si="41"/>
        <v>Light</v>
      </c>
      <c r="P882" t="str">
        <f>_xlfn.XLOOKUP(Table1[[#This Row],[Customer ID]],customers!$A$2:$A$1001,customers!$I$2:$I$1001,,0)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INDEX(products!$A$1:$G$49,MATCH(orders!$D883,products!$A$1:$A$49,0),MATCH(I$1,products!$A$1:$G$1,0))</f>
        <v>Ara</v>
      </c>
      <c r="J883" t="str">
        <f>INDEX(products!$A$1:$G$49,MATCH(orders!$D883,products!$A$1:$A$49,0),MATCH(J$1,products!$A$1:$G$1,0))</f>
        <v>L</v>
      </c>
      <c r="K883" s="6">
        <f>INDEX(products!$A$1:$G$49,MATCH(orders!$D883,products!$A$1:$A$49,0),MATCH(K$1,products!$A$1:$G$1,0))</f>
        <v>0.2</v>
      </c>
      <c r="L883" s="7">
        <f>INDEX(products!$A$1:$G$49,MATCH(orders!$D883,products!$A$1:$A$49,0),MATCH(L$1,products!$A$1:$G$1,0))</f>
        <v>3.8849999999999998</v>
      </c>
      <c r="M883" s="7">
        <f t="shared" si="39"/>
        <v>23.31</v>
      </c>
      <c r="N883" t="str">
        <f t="shared" si="40"/>
        <v>Arabica</v>
      </c>
      <c r="O883" t="str">
        <f t="shared" si="41"/>
        <v>Light</v>
      </c>
      <c r="P883" t="str">
        <f>_xlfn.XLOOKUP(Table1[[#This Row],[Customer ID]],customers!$A$2:$A$1001,customers!$I$2:$I$1001,,0)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INDEX(products!$A$1:$G$49,MATCH(orders!$D884,products!$A$1:$A$49,0),MATCH(I$1,products!$A$1:$G$1,0))</f>
        <v>Ara</v>
      </c>
      <c r="J884" t="str">
        <f>INDEX(products!$A$1:$G$49,MATCH(orders!$D884,products!$A$1:$A$49,0),MATCH(J$1,products!$A$1:$G$1,0))</f>
        <v>D</v>
      </c>
      <c r="K884" s="6">
        <f>INDEX(products!$A$1:$G$49,MATCH(orders!$D884,products!$A$1:$A$49,0),MATCH(K$1,products!$A$1:$G$1,0))</f>
        <v>2.5</v>
      </c>
      <c r="L884" s="7">
        <f>INDEX(products!$A$1:$G$49,MATCH(orders!$D884,products!$A$1:$A$49,0),MATCH(L$1,products!$A$1:$G$1,0))</f>
        <v>22.884999999999998</v>
      </c>
      <c r="M884" s="7">
        <f t="shared" si="39"/>
        <v>114.42499999999998</v>
      </c>
      <c r="N884" t="str">
        <f t="shared" si="40"/>
        <v>Arabica</v>
      </c>
      <c r="O884" t="str">
        <f t="shared" si="41"/>
        <v>Dark</v>
      </c>
      <c r="P884" t="str">
        <f>_xlfn.XLOOKUP(Table1[[#This Row],[Customer ID]],customers!$A$2:$A$1001,customers!$I$2:$I$1001,,0)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INDEX(products!$A$1:$G$49,MATCH(orders!$D885,products!$A$1:$A$49,0),MATCH(I$1,products!$A$1:$G$1,0))</f>
        <v>Ara</v>
      </c>
      <c r="J885" t="str">
        <f>INDEX(products!$A$1:$G$49,MATCH(orders!$D885,products!$A$1:$A$49,0),MATCH(J$1,products!$A$1:$G$1,0))</f>
        <v>M</v>
      </c>
      <c r="K885" s="6">
        <f>INDEX(products!$A$1:$G$49,MATCH(orders!$D885,products!$A$1:$A$49,0),MATCH(K$1,products!$A$1:$G$1,0))</f>
        <v>2.5</v>
      </c>
      <c r="L885" s="7">
        <f>INDEX(products!$A$1:$G$49,MATCH(orders!$D885,products!$A$1:$A$49,0),MATCH(L$1,products!$A$1:$G$1,0))</f>
        <v>25.874999999999996</v>
      </c>
      <c r="M885" s="7">
        <f t="shared" si="39"/>
        <v>77.624999999999986</v>
      </c>
      <c r="N885" t="str">
        <f t="shared" si="40"/>
        <v>Arabica</v>
      </c>
      <c r="O885" t="str">
        <f t="shared" si="41"/>
        <v>Medium</v>
      </c>
      <c r="P885" t="str">
        <f>_xlfn.XLOOKUP(Table1[[#This Row],[Customer ID]],customers!$A$2:$A$1001,customers!$I$2:$I$1001,,0)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INDEX(products!$A$1:$G$49,MATCH(orders!$D886,products!$A$1:$A$49,0),MATCH(I$1,products!$A$1:$G$1,0))</f>
        <v>Rob</v>
      </c>
      <c r="J886" t="str">
        <f>INDEX(products!$A$1:$G$49,MATCH(orders!$D886,products!$A$1:$A$49,0),MATCH(J$1,products!$A$1:$G$1,0))</f>
        <v>D</v>
      </c>
      <c r="K886" s="6">
        <f>INDEX(products!$A$1:$G$49,MATCH(orders!$D886,products!$A$1:$A$49,0),MATCH(K$1,products!$A$1:$G$1,0))</f>
        <v>0.5</v>
      </c>
      <c r="L886" s="7">
        <f>INDEX(products!$A$1:$G$49,MATCH(orders!$D886,products!$A$1:$A$49,0),MATCH(L$1,products!$A$1:$G$1,0))</f>
        <v>5.3699999999999992</v>
      </c>
      <c r="M886" s="7">
        <f t="shared" si="39"/>
        <v>5.3699999999999992</v>
      </c>
      <c r="N886" t="str">
        <f t="shared" si="40"/>
        <v>Robusta</v>
      </c>
      <c r="O886" t="str">
        <f t="shared" si="41"/>
        <v>Dark</v>
      </c>
      <c r="P886" t="str">
        <f>_xlfn.XLOOKUP(Table1[[#This Row],[Customer ID]],customers!$A$2:$A$1001,customers!$I$2:$I$1001,,0)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INDEX(products!$A$1:$G$49,MATCH(orders!$D887,products!$A$1:$A$49,0),MATCH(I$1,products!$A$1:$G$1,0))</f>
        <v>Rob</v>
      </c>
      <c r="J887" t="str">
        <f>INDEX(products!$A$1:$G$49,MATCH(orders!$D887,products!$A$1:$A$49,0),MATCH(J$1,products!$A$1:$G$1,0))</f>
        <v>D</v>
      </c>
      <c r="K887" s="6">
        <f>INDEX(products!$A$1:$G$49,MATCH(orders!$D887,products!$A$1:$A$49,0),MATCH(K$1,products!$A$1:$G$1,0))</f>
        <v>2.5</v>
      </c>
      <c r="L887" s="7">
        <f>INDEX(products!$A$1:$G$49,MATCH(orders!$D887,products!$A$1:$A$49,0),MATCH(L$1,products!$A$1:$G$1,0))</f>
        <v>20.584999999999997</v>
      </c>
      <c r="M887" s="7">
        <f t="shared" si="39"/>
        <v>123.50999999999999</v>
      </c>
      <c r="N887" t="str">
        <f t="shared" si="40"/>
        <v>Robusta</v>
      </c>
      <c r="O887" t="str">
        <f t="shared" si="41"/>
        <v>Dark</v>
      </c>
      <c r="P887" t="str">
        <f>_xlfn.XLOOKUP(Table1[[#This Row],[Customer ID]],customers!$A$2:$A$1001,customers!$I$2:$I$1001,,0)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INDEX(products!$A$1:$G$49,MATCH(orders!$D888,products!$A$1:$A$49,0),MATCH(I$1,products!$A$1:$G$1,0))</f>
        <v>Lib</v>
      </c>
      <c r="J888" t="str">
        <f>INDEX(products!$A$1:$G$49,MATCH(orders!$D888,products!$A$1:$A$49,0),MATCH(J$1,products!$A$1:$G$1,0))</f>
        <v>M</v>
      </c>
      <c r="K888" s="6">
        <f>INDEX(products!$A$1:$G$49,MATCH(orders!$D888,products!$A$1:$A$49,0),MATCH(K$1,products!$A$1:$G$1,0))</f>
        <v>0.5</v>
      </c>
      <c r="L888" s="7">
        <f>INDEX(products!$A$1:$G$49,MATCH(orders!$D888,products!$A$1:$A$49,0),MATCH(L$1,products!$A$1:$G$1,0))</f>
        <v>8.73</v>
      </c>
      <c r="M888" s="7">
        <f t="shared" si="39"/>
        <v>17.46</v>
      </c>
      <c r="N888" t="str">
        <f t="shared" si="40"/>
        <v>Liberica</v>
      </c>
      <c r="O888" t="str">
        <f t="shared" si="41"/>
        <v>Medium</v>
      </c>
      <c r="P888" t="str">
        <f>_xlfn.XLOOKUP(Table1[[#This Row],[Customer ID]],customers!$A$2:$A$1001,customers!$I$2:$I$1001,,0)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INDEX(products!$A$1:$G$49,MATCH(orders!$D889,products!$A$1:$A$49,0),MATCH(I$1,products!$A$1:$G$1,0))</f>
        <v>Exc</v>
      </c>
      <c r="J889" t="str">
        <f>INDEX(products!$A$1:$G$49,MATCH(orders!$D889,products!$A$1:$A$49,0),MATCH(J$1,products!$A$1:$G$1,0))</f>
        <v>L</v>
      </c>
      <c r="K889" s="6">
        <f>INDEX(products!$A$1:$G$49,MATCH(orders!$D889,products!$A$1:$A$49,0),MATCH(K$1,products!$A$1:$G$1,0))</f>
        <v>0.2</v>
      </c>
      <c r="L889" s="7">
        <f>INDEX(products!$A$1:$G$49,MATCH(orders!$D889,products!$A$1:$A$49,0),MATCH(L$1,products!$A$1:$G$1,0))</f>
        <v>4.4550000000000001</v>
      </c>
      <c r="M889" s="7">
        <f t="shared" si="39"/>
        <v>13.365</v>
      </c>
      <c r="N889" t="str">
        <f t="shared" si="40"/>
        <v>Excelsa</v>
      </c>
      <c r="O889" t="str">
        <f t="shared" si="41"/>
        <v>Light</v>
      </c>
      <c r="P889" t="str">
        <f>_xlfn.XLOOKUP(Table1[[#This Row],[Customer ID]],customers!$A$2:$A$1001,customers!$I$2:$I$1001,,0)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INDEX(products!$A$1:$G$49,MATCH(orders!$D890,products!$A$1:$A$49,0),MATCH(I$1,products!$A$1:$G$1,0))</f>
        <v>Ara</v>
      </c>
      <c r="J890" t="str">
        <f>INDEX(products!$A$1:$G$49,MATCH(orders!$D890,products!$A$1:$A$49,0),MATCH(J$1,products!$A$1:$G$1,0))</f>
        <v>L</v>
      </c>
      <c r="K890" s="6">
        <f>INDEX(products!$A$1:$G$49,MATCH(orders!$D890,products!$A$1:$A$49,0),MATCH(K$1,products!$A$1:$G$1,0))</f>
        <v>0.2</v>
      </c>
      <c r="L890" s="7">
        <f>INDEX(products!$A$1:$G$49,MATCH(orders!$D890,products!$A$1:$A$49,0),MATCH(L$1,products!$A$1:$G$1,0))</f>
        <v>3.8849999999999998</v>
      </c>
      <c r="M890" s="7">
        <f t="shared" si="39"/>
        <v>7.77</v>
      </c>
      <c r="N890" t="str">
        <f t="shared" si="40"/>
        <v>Arabica</v>
      </c>
      <c r="O890" t="str">
        <f t="shared" si="41"/>
        <v>Light</v>
      </c>
      <c r="P890" t="str">
        <f>_xlfn.XLOOKUP(Table1[[#This Row],[Customer ID]],customers!$A$2:$A$1001,customers!$I$2:$I$1001,,0)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INDEX(products!$A$1:$G$49,MATCH(orders!$D891,products!$A$1:$A$49,0),MATCH(I$1,products!$A$1:$G$1,0))</f>
        <v>Rob</v>
      </c>
      <c r="J891" t="str">
        <f>INDEX(products!$A$1:$G$49,MATCH(orders!$D891,products!$A$1:$A$49,0),MATCH(J$1,products!$A$1:$G$1,0))</f>
        <v>D</v>
      </c>
      <c r="K891" s="6">
        <f>INDEX(products!$A$1:$G$49,MATCH(orders!$D891,products!$A$1:$A$49,0),MATCH(K$1,products!$A$1:$G$1,0))</f>
        <v>0.2</v>
      </c>
      <c r="L891" s="7">
        <f>INDEX(products!$A$1:$G$49,MATCH(orders!$D891,products!$A$1:$A$49,0),MATCH(L$1,products!$A$1:$G$1,0))</f>
        <v>2.6849999999999996</v>
      </c>
      <c r="M891" s="7">
        <f t="shared" si="39"/>
        <v>2.6849999999999996</v>
      </c>
      <c r="N891" t="str">
        <f t="shared" si="40"/>
        <v>Robusta</v>
      </c>
      <c r="O891" t="str">
        <f t="shared" si="41"/>
        <v>Dark</v>
      </c>
      <c r="P891" t="str">
        <f>_xlfn.XLOOKUP(Table1[[#This Row],[Customer ID]],customers!$A$2:$A$1001,customers!$I$2:$I$1001,,0)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INDEX(products!$A$1:$G$49,MATCH(orders!$D892,products!$A$1:$A$49,0),MATCH(I$1,products!$A$1:$G$1,0))</f>
        <v>Rob</v>
      </c>
      <c r="J892" t="str">
        <f>INDEX(products!$A$1:$G$49,MATCH(orders!$D892,products!$A$1:$A$49,0),MATCH(J$1,products!$A$1:$G$1,0))</f>
        <v>D</v>
      </c>
      <c r="K892" s="6">
        <f>INDEX(products!$A$1:$G$49,MATCH(orders!$D892,products!$A$1:$A$49,0),MATCH(K$1,products!$A$1:$G$1,0))</f>
        <v>2.5</v>
      </c>
      <c r="L892" s="7">
        <f>INDEX(products!$A$1:$G$49,MATCH(orders!$D892,products!$A$1:$A$49,0),MATCH(L$1,products!$A$1:$G$1,0))</f>
        <v>20.584999999999997</v>
      </c>
      <c r="M892" s="7">
        <f t="shared" si="39"/>
        <v>20.584999999999997</v>
      </c>
      <c r="N892" t="str">
        <f t="shared" si="40"/>
        <v>Robusta</v>
      </c>
      <c r="O892" t="str">
        <f t="shared" si="41"/>
        <v>Dark</v>
      </c>
      <c r="P892" t="str">
        <f>_xlfn.XLOOKUP(Table1[[#This Row],[Customer ID]],customers!$A$2:$A$1001,customers!$I$2:$I$1001,,0)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INDEX(products!$A$1:$G$49,MATCH(orders!$D893,products!$A$1:$A$49,0),MATCH(I$1,products!$A$1:$G$1,0))</f>
        <v>Ara</v>
      </c>
      <c r="J893" t="str">
        <f>INDEX(products!$A$1:$G$49,MATCH(orders!$D893,products!$A$1:$A$49,0),MATCH(J$1,products!$A$1:$G$1,0))</f>
        <v>D</v>
      </c>
      <c r="K893" s="6">
        <f>INDEX(products!$A$1:$G$49,MATCH(orders!$D893,products!$A$1:$A$49,0),MATCH(K$1,products!$A$1:$G$1,0))</f>
        <v>2.5</v>
      </c>
      <c r="L893" s="7">
        <f>INDEX(products!$A$1:$G$49,MATCH(orders!$D893,products!$A$1:$A$49,0),MATCH(L$1,products!$A$1:$G$1,0))</f>
        <v>22.884999999999998</v>
      </c>
      <c r="M893" s="7">
        <f t="shared" si="39"/>
        <v>114.42499999999998</v>
      </c>
      <c r="N893" t="str">
        <f t="shared" si="40"/>
        <v>Arabica</v>
      </c>
      <c r="O893" t="str">
        <f t="shared" si="41"/>
        <v>Dark</v>
      </c>
      <c r="P893" t="str">
        <f>_xlfn.XLOOKUP(Table1[[#This Row],[Customer ID]],customers!$A$2:$A$1001,customers!$I$2:$I$1001,,0)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INDEX(products!$A$1:$G$49,MATCH(orders!$D894,products!$A$1:$A$49,0),MATCH(I$1,products!$A$1:$G$1,0))</f>
        <v>Exc</v>
      </c>
      <c r="J894" t="str">
        <f>INDEX(products!$A$1:$G$49,MATCH(orders!$D894,products!$A$1:$A$49,0),MATCH(J$1,products!$A$1:$G$1,0))</f>
        <v>M</v>
      </c>
      <c r="K894" s="6">
        <f>INDEX(products!$A$1:$G$49,MATCH(orders!$D894,products!$A$1:$A$49,0),MATCH(K$1,products!$A$1:$G$1,0))</f>
        <v>0.2</v>
      </c>
      <c r="L894" s="7">
        <f>INDEX(products!$A$1:$G$49,MATCH(orders!$D894,products!$A$1:$A$49,0),MATCH(L$1,products!$A$1:$G$1,0))</f>
        <v>4.125</v>
      </c>
      <c r="M894" s="7">
        <f t="shared" si="39"/>
        <v>20.625</v>
      </c>
      <c r="N894" t="str">
        <f t="shared" si="40"/>
        <v>Excelsa</v>
      </c>
      <c r="O894" t="str">
        <f t="shared" si="41"/>
        <v>Medium</v>
      </c>
      <c r="P894" t="str">
        <f>_xlfn.XLOOKUP(Table1[[#This Row],[Customer ID]],customers!$A$2:$A$1001,customers!$I$2:$I$1001,,0)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INDEX(products!$A$1:$G$49,MATCH(orders!$D895,products!$A$1:$A$49,0),MATCH(I$1,products!$A$1:$G$1,0))</f>
        <v>Lib</v>
      </c>
      <c r="J895" t="str">
        <f>INDEX(products!$A$1:$G$49,MATCH(orders!$D895,products!$A$1:$A$49,0),MATCH(J$1,products!$A$1:$G$1,0))</f>
        <v>L</v>
      </c>
      <c r="K895" s="6">
        <f>INDEX(products!$A$1:$G$49,MATCH(orders!$D895,products!$A$1:$A$49,0),MATCH(K$1,products!$A$1:$G$1,0))</f>
        <v>0.5</v>
      </c>
      <c r="L895" s="7">
        <f>INDEX(products!$A$1:$G$49,MATCH(orders!$D895,products!$A$1:$A$49,0),MATCH(L$1,products!$A$1:$G$1,0))</f>
        <v>9.51</v>
      </c>
      <c r="M895" s="7">
        <f t="shared" si="39"/>
        <v>57.06</v>
      </c>
      <c r="N895" t="str">
        <f t="shared" si="40"/>
        <v>Liberica</v>
      </c>
      <c r="O895" t="str">
        <f t="shared" si="41"/>
        <v>Light</v>
      </c>
      <c r="P895" t="str">
        <f>_xlfn.XLOOKUP(Table1[[#This Row],[Customer ID]],customers!$A$2:$A$1001,customers!$I$2:$I$1001,,0)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INDEX(products!$A$1:$G$49,MATCH(orders!$D896,products!$A$1:$A$49,0),MATCH(I$1,products!$A$1:$G$1,0))</f>
        <v>Rob</v>
      </c>
      <c r="J896" t="str">
        <f>INDEX(products!$A$1:$G$49,MATCH(orders!$D896,products!$A$1:$A$49,0),MATCH(J$1,products!$A$1:$G$1,0))</f>
        <v>D</v>
      </c>
      <c r="K896" s="6">
        <f>INDEX(products!$A$1:$G$49,MATCH(orders!$D896,products!$A$1:$A$49,0),MATCH(K$1,products!$A$1:$G$1,0))</f>
        <v>2.5</v>
      </c>
      <c r="L896" s="7">
        <f>INDEX(products!$A$1:$G$49,MATCH(orders!$D896,products!$A$1:$A$49,0),MATCH(L$1,products!$A$1:$G$1,0))</f>
        <v>20.584999999999997</v>
      </c>
      <c r="M896" s="7">
        <f t="shared" si="39"/>
        <v>82.339999999999989</v>
      </c>
      <c r="N896" t="str">
        <f t="shared" si="40"/>
        <v>Robusta</v>
      </c>
      <c r="O896" t="str">
        <f t="shared" si="41"/>
        <v>Dark</v>
      </c>
      <c r="P896" t="str">
        <f>_xlfn.XLOOKUP(Table1[[#This Row],[Customer ID]],customers!$A$2:$A$1001,customers!$I$2:$I$1001,,0)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INDEX(products!$A$1:$G$49,MATCH(orders!$D897,products!$A$1:$A$49,0),MATCH(I$1,products!$A$1:$G$1,0))</f>
        <v>Exc</v>
      </c>
      <c r="J897" t="str">
        <f>INDEX(products!$A$1:$G$49,MATCH(orders!$D897,products!$A$1:$A$49,0),MATCH(J$1,products!$A$1:$G$1,0))</f>
        <v>M</v>
      </c>
      <c r="K897" s="6">
        <f>INDEX(products!$A$1:$G$49,MATCH(orders!$D897,products!$A$1:$A$49,0),MATCH(K$1,products!$A$1:$G$1,0))</f>
        <v>2.5</v>
      </c>
      <c r="L897" s="7">
        <f>INDEX(products!$A$1:$G$49,MATCH(orders!$D897,products!$A$1:$A$49,0),MATCH(L$1,products!$A$1:$G$1,0))</f>
        <v>31.624999999999996</v>
      </c>
      <c r="M897" s="7">
        <f t="shared" si="39"/>
        <v>158.12499999999997</v>
      </c>
      <c r="N897" t="str">
        <f t="shared" si="40"/>
        <v>Excelsa</v>
      </c>
      <c r="O897" t="str">
        <f t="shared" si="41"/>
        <v>Medium</v>
      </c>
      <c r="P897" t="str">
        <f>_xlfn.XLOOKUP(Table1[[#This Row],[Customer ID]],customers!$A$2:$A$1001,customers!$I$2:$I$1001,,0)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INDEX(products!$A$1:$G$49,MATCH(orders!$D898,products!$A$1:$A$49,0),MATCH(I$1,products!$A$1:$G$1,0))</f>
        <v>Rob</v>
      </c>
      <c r="J898" t="str">
        <f>INDEX(products!$A$1:$G$49,MATCH(orders!$D898,products!$A$1:$A$49,0),MATCH(J$1,products!$A$1:$G$1,0))</f>
        <v>D</v>
      </c>
      <c r="K898" s="6">
        <f>INDEX(products!$A$1:$G$49,MATCH(orders!$D898,products!$A$1:$A$49,0),MATCH(K$1,products!$A$1:$G$1,0))</f>
        <v>0.5</v>
      </c>
      <c r="L898" s="7">
        <f>INDEX(products!$A$1:$G$49,MATCH(orders!$D898,products!$A$1:$A$49,0),MATCH(L$1,products!$A$1:$G$1,0))</f>
        <v>5.3699999999999992</v>
      </c>
      <c r="M898" s="7">
        <f t="shared" si="39"/>
        <v>32.22</v>
      </c>
      <c r="N898" t="str">
        <f t="shared" si="40"/>
        <v>Robusta</v>
      </c>
      <c r="O898" t="str">
        <f t="shared" si="41"/>
        <v>Dark</v>
      </c>
      <c r="P898" t="str">
        <f>_xlfn.XLOOKUP(Table1[[#This Row],[Customer ID]],customers!$A$2:$A$1001,customers!$I$2:$I$1001,,0)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INDEX(products!$A$1:$G$49,MATCH(orders!$D899,products!$A$1:$A$49,0),MATCH(I$1,products!$A$1:$G$1,0))</f>
        <v>Exc</v>
      </c>
      <c r="J899" t="str">
        <f>INDEX(products!$A$1:$G$49,MATCH(orders!$D899,products!$A$1:$A$49,0),MATCH(J$1,products!$A$1:$G$1,0))</f>
        <v>D</v>
      </c>
      <c r="K899" s="6">
        <f>INDEX(products!$A$1:$G$49,MATCH(orders!$D899,products!$A$1:$A$49,0),MATCH(K$1,products!$A$1:$G$1,0))</f>
        <v>1</v>
      </c>
      <c r="L899" s="7">
        <f>INDEX(products!$A$1:$G$49,MATCH(orders!$D899,products!$A$1:$A$49,0),MATCH(L$1,products!$A$1:$G$1,0))</f>
        <v>12.15</v>
      </c>
      <c r="M899" s="7">
        <f t="shared" ref="M899:M962" si="42">L899*E899</f>
        <v>24.3</v>
      </c>
      <c r="N899" t="str">
        <f t="shared" ref="N899:N962" si="43">IF(I899="Rob","Robusta",IF(I899="Exc","Excelsa",IF(I899="Ara","Arabica",IF(I899="Lib","Liberica",""))))</f>
        <v>Excelsa</v>
      </c>
      <c r="O899" t="str">
        <f t="shared" ref="O899:O962" si="44">IF(J899="M","Medium",IF(J899="L","Light",IF(J899="D","Dark","")))</f>
        <v>Dark</v>
      </c>
      <c r="P899" t="str">
        <f>_xlfn.XLOOKUP(Table1[[#This Row],[Customer ID]],customers!$A$2:$A$1001,customers!$I$2:$I$1001,,0)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INDEX(products!$A$1:$G$49,MATCH(orders!$D900,products!$A$1:$A$49,0),MATCH(I$1,products!$A$1:$G$1,0))</f>
        <v>Rob</v>
      </c>
      <c r="J900" t="str">
        <f>INDEX(products!$A$1:$G$49,MATCH(orders!$D900,products!$A$1:$A$49,0),MATCH(J$1,products!$A$1:$G$1,0))</f>
        <v>L</v>
      </c>
      <c r="K900" s="6">
        <f>INDEX(products!$A$1:$G$49,MATCH(orders!$D900,products!$A$1:$A$49,0),MATCH(K$1,products!$A$1:$G$1,0))</f>
        <v>0.5</v>
      </c>
      <c r="L900" s="7">
        <f>INDEX(products!$A$1:$G$49,MATCH(orders!$D900,products!$A$1:$A$49,0),MATCH(L$1,products!$A$1:$G$1,0))</f>
        <v>7.169999999999999</v>
      </c>
      <c r="M900" s="7">
        <f t="shared" si="42"/>
        <v>35.849999999999994</v>
      </c>
      <c r="N900" t="str">
        <f t="shared" si="43"/>
        <v>Robusta</v>
      </c>
      <c r="O900" t="str">
        <f t="shared" si="44"/>
        <v>Light</v>
      </c>
      <c r="P900" t="str">
        <f>_xlfn.XLOOKUP(Table1[[#This Row],[Customer ID]],customers!$A$2:$A$1001,customers!$I$2:$I$1001,,0)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INDEX(products!$A$1:$G$49,MATCH(orders!$D901,products!$A$1:$A$49,0),MATCH(I$1,products!$A$1:$G$1,0))</f>
        <v>Lib</v>
      </c>
      <c r="J901" t="str">
        <f>INDEX(products!$A$1:$G$49,MATCH(orders!$D901,products!$A$1:$A$49,0),MATCH(J$1,products!$A$1:$G$1,0))</f>
        <v>M</v>
      </c>
      <c r="K901" s="6">
        <f>INDEX(products!$A$1:$G$49,MATCH(orders!$D901,products!$A$1:$A$49,0),MATCH(K$1,products!$A$1:$G$1,0))</f>
        <v>1</v>
      </c>
      <c r="L901" s="7">
        <f>INDEX(products!$A$1:$G$49,MATCH(orders!$D901,products!$A$1:$A$49,0),MATCH(L$1,products!$A$1:$G$1,0))</f>
        <v>14.55</v>
      </c>
      <c r="M901" s="7">
        <f t="shared" si="42"/>
        <v>72.75</v>
      </c>
      <c r="N901" t="str">
        <f t="shared" si="43"/>
        <v>Liberica</v>
      </c>
      <c r="O901" t="str">
        <f t="shared" si="44"/>
        <v>Medium</v>
      </c>
      <c r="P901" t="str">
        <f>_xlfn.XLOOKUP(Table1[[#This Row],[Customer ID]],customers!$A$2:$A$1001,customers!$I$2:$I$1001,,0)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INDEX(products!$A$1:$G$49,MATCH(orders!$D902,products!$A$1:$A$49,0),MATCH(I$1,products!$A$1:$G$1,0))</f>
        <v>Lib</v>
      </c>
      <c r="J902" t="str">
        <f>INDEX(products!$A$1:$G$49,MATCH(orders!$D902,products!$A$1:$A$49,0),MATCH(J$1,products!$A$1:$G$1,0))</f>
        <v>L</v>
      </c>
      <c r="K902" s="6">
        <f>INDEX(products!$A$1:$G$49,MATCH(orders!$D902,products!$A$1:$A$49,0),MATCH(K$1,products!$A$1:$G$1,0))</f>
        <v>1</v>
      </c>
      <c r="L902" s="7">
        <f>INDEX(products!$A$1:$G$49,MATCH(orders!$D902,products!$A$1:$A$49,0),MATCH(L$1,products!$A$1:$G$1,0))</f>
        <v>15.85</v>
      </c>
      <c r="M902" s="7">
        <f t="shared" si="42"/>
        <v>47.55</v>
      </c>
      <c r="N902" t="str">
        <f t="shared" si="43"/>
        <v>Liberica</v>
      </c>
      <c r="O902" t="str">
        <f t="shared" si="44"/>
        <v>Light</v>
      </c>
      <c r="P902" t="str">
        <f>_xlfn.XLOOKUP(Table1[[#This Row],[Customer ID]],customers!$A$2:$A$1001,customers!$I$2:$I$1001,,0)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INDEX(products!$A$1:$G$49,MATCH(orders!$D903,products!$A$1:$A$49,0),MATCH(I$1,products!$A$1:$G$1,0))</f>
        <v>Rob</v>
      </c>
      <c r="J903" t="str">
        <f>INDEX(products!$A$1:$G$49,MATCH(orders!$D903,products!$A$1:$A$49,0),MATCH(J$1,products!$A$1:$G$1,0))</f>
        <v>L</v>
      </c>
      <c r="K903" s="6">
        <f>INDEX(products!$A$1:$G$49,MATCH(orders!$D903,products!$A$1:$A$49,0),MATCH(K$1,products!$A$1:$G$1,0))</f>
        <v>0.2</v>
      </c>
      <c r="L903" s="7">
        <f>INDEX(products!$A$1:$G$49,MATCH(orders!$D903,products!$A$1:$A$49,0),MATCH(L$1,products!$A$1:$G$1,0))</f>
        <v>3.5849999999999995</v>
      </c>
      <c r="M903" s="7">
        <f t="shared" si="42"/>
        <v>3.5849999999999995</v>
      </c>
      <c r="N903" t="str">
        <f t="shared" si="43"/>
        <v>Robusta</v>
      </c>
      <c r="O903" t="str">
        <f t="shared" si="44"/>
        <v>Light</v>
      </c>
      <c r="P903" t="str">
        <f>_xlfn.XLOOKUP(Table1[[#This Row],[Customer ID]],customers!$A$2:$A$1001,customers!$I$2:$I$1001,,0)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INDEX(products!$A$1:$G$49,MATCH(orders!$D904,products!$A$1:$A$49,0),MATCH(I$1,products!$A$1:$G$1,0))</f>
        <v>Exc</v>
      </c>
      <c r="J904" t="str">
        <f>INDEX(products!$A$1:$G$49,MATCH(orders!$D904,products!$A$1:$A$49,0),MATCH(J$1,products!$A$1:$G$1,0))</f>
        <v>M</v>
      </c>
      <c r="K904" s="6">
        <f>INDEX(products!$A$1:$G$49,MATCH(orders!$D904,products!$A$1:$A$49,0),MATCH(K$1,products!$A$1:$G$1,0))</f>
        <v>2.5</v>
      </c>
      <c r="L904" s="7">
        <f>INDEX(products!$A$1:$G$49,MATCH(orders!$D904,products!$A$1:$A$49,0),MATCH(L$1,products!$A$1:$G$1,0))</f>
        <v>31.624999999999996</v>
      </c>
      <c r="M904" s="7">
        <f t="shared" si="42"/>
        <v>158.12499999999997</v>
      </c>
      <c r="N904" t="str">
        <f t="shared" si="43"/>
        <v>Excelsa</v>
      </c>
      <c r="O904" t="str">
        <f t="shared" si="44"/>
        <v>Medium</v>
      </c>
      <c r="P904" t="str">
        <f>_xlfn.XLOOKUP(Table1[[#This Row],[Customer ID]],customers!$A$2:$A$1001,customers!$I$2:$I$1001,,0)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INDEX(products!$A$1:$G$49,MATCH(orders!$D905,products!$A$1:$A$49,0),MATCH(I$1,products!$A$1:$G$1,0))</f>
        <v>Lib</v>
      </c>
      <c r="J905" t="str">
        <f>INDEX(products!$A$1:$G$49,MATCH(orders!$D905,products!$A$1:$A$49,0),MATCH(J$1,products!$A$1:$G$1,0))</f>
        <v>M</v>
      </c>
      <c r="K905" s="6">
        <f>INDEX(products!$A$1:$G$49,MATCH(orders!$D905,products!$A$1:$A$49,0),MATCH(K$1,products!$A$1:$G$1,0))</f>
        <v>0.5</v>
      </c>
      <c r="L905" s="7">
        <f>INDEX(products!$A$1:$G$49,MATCH(orders!$D905,products!$A$1:$A$49,0),MATCH(L$1,products!$A$1:$G$1,0))</f>
        <v>8.73</v>
      </c>
      <c r="M905" s="7">
        <f t="shared" si="42"/>
        <v>17.46</v>
      </c>
      <c r="N905" t="str">
        <f t="shared" si="43"/>
        <v>Liberica</v>
      </c>
      <c r="O905" t="str">
        <f t="shared" si="44"/>
        <v>Medium</v>
      </c>
      <c r="P905" t="str">
        <f>_xlfn.XLOOKUP(Table1[[#This Row],[Customer ID]],customers!$A$2:$A$1001,customers!$I$2:$I$1001,,0)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INDEX(products!$A$1:$G$49,MATCH(orders!$D906,products!$A$1:$A$49,0),MATCH(I$1,products!$A$1:$G$1,0))</f>
        <v>Ara</v>
      </c>
      <c r="J906" t="str">
        <f>INDEX(products!$A$1:$G$49,MATCH(orders!$D906,products!$A$1:$A$49,0),MATCH(J$1,products!$A$1:$G$1,0))</f>
        <v>L</v>
      </c>
      <c r="K906" s="6">
        <f>INDEX(products!$A$1:$G$49,MATCH(orders!$D906,products!$A$1:$A$49,0),MATCH(K$1,products!$A$1:$G$1,0))</f>
        <v>2.5</v>
      </c>
      <c r="L906" s="7">
        <f>INDEX(products!$A$1:$G$49,MATCH(orders!$D906,products!$A$1:$A$49,0),MATCH(L$1,products!$A$1:$G$1,0))</f>
        <v>29.784999999999997</v>
      </c>
      <c r="M906" s="7">
        <f t="shared" si="42"/>
        <v>148.92499999999998</v>
      </c>
      <c r="N906" t="str">
        <f t="shared" si="43"/>
        <v>Arabica</v>
      </c>
      <c r="O906" t="str">
        <f t="shared" si="44"/>
        <v>Light</v>
      </c>
      <c r="P906" t="str">
        <f>_xlfn.XLOOKUP(Table1[[#This Row],[Customer ID]],customers!$A$2:$A$1001,customers!$I$2:$I$1001,,0)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INDEX(products!$A$1:$G$49,MATCH(orders!$D907,products!$A$1:$A$49,0),MATCH(I$1,products!$A$1:$G$1,0))</f>
        <v>Ara</v>
      </c>
      <c r="J907" t="str">
        <f>INDEX(products!$A$1:$G$49,MATCH(orders!$D907,products!$A$1:$A$49,0),MATCH(J$1,products!$A$1:$G$1,0))</f>
        <v>M</v>
      </c>
      <c r="K907" s="6">
        <f>INDEX(products!$A$1:$G$49,MATCH(orders!$D907,products!$A$1:$A$49,0),MATCH(K$1,products!$A$1:$G$1,0))</f>
        <v>0.5</v>
      </c>
      <c r="L907" s="7">
        <f>INDEX(products!$A$1:$G$49,MATCH(orders!$D907,products!$A$1:$A$49,0),MATCH(L$1,products!$A$1:$G$1,0))</f>
        <v>6.75</v>
      </c>
      <c r="M907" s="7">
        <f t="shared" si="42"/>
        <v>40.5</v>
      </c>
      <c r="N907" t="str">
        <f t="shared" si="43"/>
        <v>Arabica</v>
      </c>
      <c r="O907" t="str">
        <f t="shared" si="44"/>
        <v>Medium</v>
      </c>
      <c r="P907" t="str">
        <f>_xlfn.XLOOKUP(Table1[[#This Row],[Customer ID]],customers!$A$2:$A$1001,customers!$I$2:$I$1001,,0)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INDEX(products!$A$1:$G$49,MATCH(orders!$D908,products!$A$1:$A$49,0),MATCH(I$1,products!$A$1:$G$1,0))</f>
        <v>Ara</v>
      </c>
      <c r="J908" t="str">
        <f>INDEX(products!$A$1:$G$49,MATCH(orders!$D908,products!$A$1:$A$49,0),MATCH(J$1,products!$A$1:$G$1,0))</f>
        <v>M</v>
      </c>
      <c r="K908" s="6">
        <f>INDEX(products!$A$1:$G$49,MATCH(orders!$D908,products!$A$1:$A$49,0),MATCH(K$1,products!$A$1:$G$1,0))</f>
        <v>0.5</v>
      </c>
      <c r="L908" s="7">
        <f>INDEX(products!$A$1:$G$49,MATCH(orders!$D908,products!$A$1:$A$49,0),MATCH(L$1,products!$A$1:$G$1,0))</f>
        <v>6.75</v>
      </c>
      <c r="M908" s="7">
        <f t="shared" si="42"/>
        <v>27</v>
      </c>
      <c r="N908" t="str">
        <f t="shared" si="43"/>
        <v>Arabica</v>
      </c>
      <c r="O908" t="str">
        <f t="shared" si="44"/>
        <v>Medium</v>
      </c>
      <c r="P908" t="str">
        <f>_xlfn.XLOOKUP(Table1[[#This Row],[Customer ID]],customers!$A$2:$A$1001,customers!$I$2:$I$1001,,0)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INDEX(products!$A$1:$G$49,MATCH(orders!$D909,products!$A$1:$A$49,0),MATCH(I$1,products!$A$1:$G$1,0))</f>
        <v>Lib</v>
      </c>
      <c r="J909" t="str">
        <f>INDEX(products!$A$1:$G$49,MATCH(orders!$D909,products!$A$1:$A$49,0),MATCH(J$1,products!$A$1:$G$1,0))</f>
        <v>D</v>
      </c>
      <c r="K909" s="6">
        <f>INDEX(products!$A$1:$G$49,MATCH(orders!$D909,products!$A$1:$A$49,0),MATCH(K$1,products!$A$1:$G$1,0))</f>
        <v>1</v>
      </c>
      <c r="L909" s="7">
        <f>INDEX(products!$A$1:$G$49,MATCH(orders!$D909,products!$A$1:$A$49,0),MATCH(L$1,products!$A$1:$G$1,0))</f>
        <v>12.95</v>
      </c>
      <c r="M909" s="7">
        <f t="shared" si="42"/>
        <v>38.849999999999994</v>
      </c>
      <c r="N909" t="str">
        <f t="shared" si="43"/>
        <v>Liberica</v>
      </c>
      <c r="O909" t="str">
        <f t="shared" si="44"/>
        <v>Dark</v>
      </c>
      <c r="P909" t="str">
        <f>_xlfn.XLOOKUP(Table1[[#This Row],[Customer ID]],customers!$A$2:$A$1001,customers!$I$2:$I$1001,,0)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INDEX(products!$A$1:$G$49,MATCH(orders!$D910,products!$A$1:$A$49,0),MATCH(I$1,products!$A$1:$G$1,0))</f>
        <v>Rob</v>
      </c>
      <c r="J910" t="str">
        <f>INDEX(products!$A$1:$G$49,MATCH(orders!$D910,products!$A$1:$A$49,0),MATCH(J$1,products!$A$1:$G$1,0))</f>
        <v>L</v>
      </c>
      <c r="K910" s="6">
        <f>INDEX(products!$A$1:$G$49,MATCH(orders!$D910,products!$A$1:$A$49,0),MATCH(K$1,products!$A$1:$G$1,0))</f>
        <v>1</v>
      </c>
      <c r="L910" s="7">
        <f>INDEX(products!$A$1:$G$49,MATCH(orders!$D910,products!$A$1:$A$49,0),MATCH(L$1,products!$A$1:$G$1,0))</f>
        <v>11.95</v>
      </c>
      <c r="M910" s="7">
        <f t="shared" si="42"/>
        <v>59.75</v>
      </c>
      <c r="N910" t="str">
        <f t="shared" si="43"/>
        <v>Robusta</v>
      </c>
      <c r="O910" t="str">
        <f t="shared" si="44"/>
        <v>Light</v>
      </c>
      <c r="P910" t="str">
        <f>_xlfn.XLOOKUP(Table1[[#This Row],[Customer ID]],customers!$A$2:$A$1001,customers!$I$2:$I$1001,,0)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INDEX(products!$A$1:$G$49,MATCH(orders!$D911,products!$A$1:$A$49,0),MATCH(I$1,products!$A$1:$G$1,0))</f>
        <v>Rob</v>
      </c>
      <c r="J911" t="str">
        <f>INDEX(products!$A$1:$G$49,MATCH(orders!$D911,products!$A$1:$A$49,0),MATCH(J$1,products!$A$1:$G$1,0))</f>
        <v>L</v>
      </c>
      <c r="K911" s="6">
        <f>INDEX(products!$A$1:$G$49,MATCH(orders!$D911,products!$A$1:$A$49,0),MATCH(K$1,products!$A$1:$G$1,0))</f>
        <v>0.2</v>
      </c>
      <c r="L911" s="7">
        <f>INDEX(products!$A$1:$G$49,MATCH(orders!$D911,products!$A$1:$A$49,0),MATCH(L$1,products!$A$1:$G$1,0))</f>
        <v>3.5849999999999995</v>
      </c>
      <c r="M911" s="7">
        <f t="shared" si="42"/>
        <v>10.754999999999999</v>
      </c>
      <c r="N911" t="str">
        <f t="shared" si="43"/>
        <v>Robusta</v>
      </c>
      <c r="O911" t="str">
        <f t="shared" si="44"/>
        <v>Light</v>
      </c>
      <c r="P911" t="str">
        <f>_xlfn.XLOOKUP(Table1[[#This Row],[Customer ID]],customers!$A$2:$A$1001,customers!$I$2:$I$1001,,0)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INDEX(products!$A$1:$G$49,MATCH(orders!$D912,products!$A$1:$A$49,0),MATCH(I$1,products!$A$1:$G$1,0))</f>
        <v>Ara</v>
      </c>
      <c r="J912" t="str">
        <f>INDEX(products!$A$1:$G$49,MATCH(orders!$D912,products!$A$1:$A$49,0),MATCH(J$1,products!$A$1:$G$1,0))</f>
        <v>D</v>
      </c>
      <c r="K912" s="6">
        <f>INDEX(products!$A$1:$G$49,MATCH(orders!$D912,products!$A$1:$A$49,0),MATCH(K$1,products!$A$1:$G$1,0))</f>
        <v>2.5</v>
      </c>
      <c r="L912" s="7">
        <f>INDEX(products!$A$1:$G$49,MATCH(orders!$D912,products!$A$1:$A$49,0),MATCH(L$1,products!$A$1:$G$1,0))</f>
        <v>22.884999999999998</v>
      </c>
      <c r="M912" s="7">
        <f t="shared" si="42"/>
        <v>91.539999999999992</v>
      </c>
      <c r="N912" t="str">
        <f t="shared" si="43"/>
        <v>Arabica</v>
      </c>
      <c r="O912" t="str">
        <f t="shared" si="44"/>
        <v>Dark</v>
      </c>
      <c r="P912" t="str">
        <f>_xlfn.XLOOKUP(Table1[[#This Row],[Customer ID]],customers!$A$2:$A$1001,customers!$I$2:$I$1001,,0)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INDEX(products!$A$1:$G$49,MATCH(orders!$D913,products!$A$1:$A$49,0),MATCH(I$1,products!$A$1:$G$1,0))</f>
        <v>Ara</v>
      </c>
      <c r="J913" t="str">
        <f>INDEX(products!$A$1:$G$49,MATCH(orders!$D913,products!$A$1:$A$49,0),MATCH(J$1,products!$A$1:$G$1,0))</f>
        <v>M</v>
      </c>
      <c r="K913" s="6">
        <f>INDEX(products!$A$1:$G$49,MATCH(orders!$D913,products!$A$1:$A$49,0),MATCH(K$1,products!$A$1:$G$1,0))</f>
        <v>1</v>
      </c>
      <c r="L913" s="7">
        <f>INDEX(products!$A$1:$G$49,MATCH(orders!$D913,products!$A$1:$A$49,0),MATCH(L$1,products!$A$1:$G$1,0))</f>
        <v>11.25</v>
      </c>
      <c r="M913" s="7">
        <f t="shared" si="42"/>
        <v>45</v>
      </c>
      <c r="N913" t="str">
        <f t="shared" si="43"/>
        <v>Arabica</v>
      </c>
      <c r="O913" t="str">
        <f t="shared" si="44"/>
        <v>Medium</v>
      </c>
      <c r="P913" t="str">
        <f>_xlfn.XLOOKUP(Table1[[#This Row],[Customer ID]],customers!$A$2:$A$1001,customers!$I$2:$I$1001,,0)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INDEX(products!$A$1:$G$49,MATCH(orders!$D914,products!$A$1:$A$49,0),MATCH(I$1,products!$A$1:$G$1,0))</f>
        <v>Rob</v>
      </c>
      <c r="J914" t="str">
        <f>INDEX(products!$A$1:$G$49,MATCH(orders!$D914,products!$A$1:$A$49,0),MATCH(J$1,products!$A$1:$G$1,0))</f>
        <v>M</v>
      </c>
      <c r="K914" s="6">
        <f>INDEX(products!$A$1:$G$49,MATCH(orders!$D914,products!$A$1:$A$49,0),MATCH(K$1,products!$A$1:$G$1,0))</f>
        <v>2.5</v>
      </c>
      <c r="L914" s="7">
        <f>INDEX(products!$A$1:$G$49,MATCH(orders!$D914,products!$A$1:$A$49,0),MATCH(L$1,products!$A$1:$G$1,0))</f>
        <v>22.884999999999998</v>
      </c>
      <c r="M914" s="7">
        <f t="shared" si="42"/>
        <v>137.31</v>
      </c>
      <c r="N914" t="str">
        <f t="shared" si="43"/>
        <v>Robusta</v>
      </c>
      <c r="O914" t="str">
        <f t="shared" si="44"/>
        <v>Medium</v>
      </c>
      <c r="P914" t="str">
        <f>_xlfn.XLOOKUP(Table1[[#This Row],[Customer ID]],customers!$A$2:$A$1001,customers!$I$2:$I$1001,,0)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INDEX(products!$A$1:$G$49,MATCH(orders!$D915,products!$A$1:$A$49,0),MATCH(I$1,products!$A$1:$G$1,0))</f>
        <v>Ara</v>
      </c>
      <c r="J915" t="str">
        <f>INDEX(products!$A$1:$G$49,MATCH(orders!$D915,products!$A$1:$A$49,0),MATCH(J$1,products!$A$1:$G$1,0))</f>
        <v>M</v>
      </c>
      <c r="K915" s="6">
        <f>INDEX(products!$A$1:$G$49,MATCH(orders!$D915,products!$A$1:$A$49,0),MATCH(K$1,products!$A$1:$G$1,0))</f>
        <v>0.5</v>
      </c>
      <c r="L915" s="7">
        <f>INDEX(products!$A$1:$G$49,MATCH(orders!$D915,products!$A$1:$A$49,0),MATCH(L$1,products!$A$1:$G$1,0))</f>
        <v>6.75</v>
      </c>
      <c r="M915" s="7">
        <f t="shared" si="42"/>
        <v>6.75</v>
      </c>
      <c r="N915" t="str">
        <f t="shared" si="43"/>
        <v>Arabica</v>
      </c>
      <c r="O915" t="str">
        <f t="shared" si="44"/>
        <v>Medium</v>
      </c>
      <c r="P915" t="str">
        <f>_xlfn.XLOOKUP(Table1[[#This Row],[Customer ID]],customers!$A$2:$A$1001,customers!$I$2:$I$1001,,0)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INDEX(products!$A$1:$G$49,MATCH(orders!$D916,products!$A$1:$A$49,0),MATCH(I$1,products!$A$1:$G$1,0))</f>
        <v>Ara</v>
      </c>
      <c r="J916" t="str">
        <f>INDEX(products!$A$1:$G$49,MATCH(orders!$D916,products!$A$1:$A$49,0),MATCH(J$1,products!$A$1:$G$1,0))</f>
        <v>M</v>
      </c>
      <c r="K916" s="6">
        <f>INDEX(products!$A$1:$G$49,MATCH(orders!$D916,products!$A$1:$A$49,0),MATCH(K$1,products!$A$1:$G$1,0))</f>
        <v>1</v>
      </c>
      <c r="L916" s="7">
        <f>INDEX(products!$A$1:$G$49,MATCH(orders!$D916,products!$A$1:$A$49,0),MATCH(L$1,products!$A$1:$G$1,0))</f>
        <v>11.25</v>
      </c>
      <c r="M916" s="7">
        <f t="shared" si="42"/>
        <v>45</v>
      </c>
      <c r="N916" t="str">
        <f t="shared" si="43"/>
        <v>Arabica</v>
      </c>
      <c r="O916" t="str">
        <f t="shared" si="44"/>
        <v>Medium</v>
      </c>
      <c r="P916" t="str">
        <f>_xlfn.XLOOKUP(Table1[[#This Row],[Customer ID]],customers!$A$2:$A$1001,customers!$I$2:$I$1001,,0)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INDEX(products!$A$1:$G$49,MATCH(orders!$D917,products!$A$1:$A$49,0),MATCH(I$1,products!$A$1:$G$1,0))</f>
        <v>Exc</v>
      </c>
      <c r="J917" t="str">
        <f>INDEX(products!$A$1:$G$49,MATCH(orders!$D917,products!$A$1:$A$49,0),MATCH(J$1,products!$A$1:$G$1,0))</f>
        <v>D</v>
      </c>
      <c r="K917" s="6">
        <f>INDEX(products!$A$1:$G$49,MATCH(orders!$D917,products!$A$1:$A$49,0),MATCH(K$1,products!$A$1:$G$1,0))</f>
        <v>2.5</v>
      </c>
      <c r="L917" s="7">
        <f>INDEX(products!$A$1:$G$49,MATCH(orders!$D917,products!$A$1:$A$49,0),MATCH(L$1,products!$A$1:$G$1,0))</f>
        <v>27.945</v>
      </c>
      <c r="M917" s="7">
        <f t="shared" si="42"/>
        <v>83.835000000000008</v>
      </c>
      <c r="N917" t="str">
        <f t="shared" si="43"/>
        <v>Excelsa</v>
      </c>
      <c r="O917" t="str">
        <f t="shared" si="44"/>
        <v>Dark</v>
      </c>
      <c r="P917" t="str">
        <f>_xlfn.XLOOKUP(Table1[[#This Row],[Customer ID]],customers!$A$2:$A$1001,customers!$I$2:$I$1001,,0)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INDEX(products!$A$1:$G$49,MATCH(orders!$D918,products!$A$1:$A$49,0),MATCH(I$1,products!$A$1:$G$1,0))</f>
        <v>Exc</v>
      </c>
      <c r="J918" t="str">
        <f>INDEX(products!$A$1:$G$49,MATCH(orders!$D918,products!$A$1:$A$49,0),MATCH(J$1,products!$A$1:$G$1,0))</f>
        <v>D</v>
      </c>
      <c r="K918" s="6">
        <f>INDEX(products!$A$1:$G$49,MATCH(orders!$D918,products!$A$1:$A$49,0),MATCH(K$1,products!$A$1:$G$1,0))</f>
        <v>0.2</v>
      </c>
      <c r="L918" s="7">
        <f>INDEX(products!$A$1:$G$49,MATCH(orders!$D918,products!$A$1:$A$49,0),MATCH(L$1,products!$A$1:$G$1,0))</f>
        <v>3.645</v>
      </c>
      <c r="M918" s="7">
        <f t="shared" si="42"/>
        <v>3.645</v>
      </c>
      <c r="N918" t="str">
        <f t="shared" si="43"/>
        <v>Excelsa</v>
      </c>
      <c r="O918" t="str">
        <f t="shared" si="44"/>
        <v>Dark</v>
      </c>
      <c r="P918" t="str">
        <f>_xlfn.XLOOKUP(Table1[[#This Row],[Customer ID]],customers!$A$2:$A$1001,customers!$I$2:$I$1001,,0)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INDEX(products!$A$1:$G$49,MATCH(orders!$D919,products!$A$1:$A$49,0),MATCH(I$1,products!$A$1:$G$1,0))</f>
        <v>Ara</v>
      </c>
      <c r="J919" t="str">
        <f>INDEX(products!$A$1:$G$49,MATCH(orders!$D919,products!$A$1:$A$49,0),MATCH(J$1,products!$A$1:$G$1,0))</f>
        <v>M</v>
      </c>
      <c r="K919" s="6">
        <f>INDEX(products!$A$1:$G$49,MATCH(orders!$D919,products!$A$1:$A$49,0),MATCH(K$1,products!$A$1:$G$1,0))</f>
        <v>0.5</v>
      </c>
      <c r="L919" s="7">
        <f>INDEX(products!$A$1:$G$49,MATCH(orders!$D919,products!$A$1:$A$49,0),MATCH(L$1,products!$A$1:$G$1,0))</f>
        <v>6.75</v>
      </c>
      <c r="M919" s="7">
        <f t="shared" si="42"/>
        <v>6.75</v>
      </c>
      <c r="N919" t="str">
        <f t="shared" si="43"/>
        <v>Arabica</v>
      </c>
      <c r="O919" t="str">
        <f t="shared" si="44"/>
        <v>Medium</v>
      </c>
      <c r="P919" t="str">
        <f>_xlfn.XLOOKUP(Table1[[#This Row],[Customer ID]],customers!$A$2:$A$1001,customers!$I$2:$I$1001,,0)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INDEX(products!$A$1:$G$49,MATCH(orders!$D920,products!$A$1:$A$49,0),MATCH(I$1,products!$A$1:$G$1,0))</f>
        <v>Exc</v>
      </c>
      <c r="J920" t="str">
        <f>INDEX(products!$A$1:$G$49,MATCH(orders!$D920,products!$A$1:$A$49,0),MATCH(J$1,products!$A$1:$G$1,0))</f>
        <v>D</v>
      </c>
      <c r="K920" s="6">
        <f>INDEX(products!$A$1:$G$49,MATCH(orders!$D920,products!$A$1:$A$49,0),MATCH(K$1,products!$A$1:$G$1,0))</f>
        <v>0.5</v>
      </c>
      <c r="L920" s="7">
        <f>INDEX(products!$A$1:$G$49,MATCH(orders!$D920,products!$A$1:$A$49,0),MATCH(L$1,products!$A$1:$G$1,0))</f>
        <v>7.29</v>
      </c>
      <c r="M920" s="7">
        <f t="shared" si="42"/>
        <v>21.87</v>
      </c>
      <c r="N920" t="str">
        <f t="shared" si="43"/>
        <v>Excelsa</v>
      </c>
      <c r="O920" t="str">
        <f t="shared" si="44"/>
        <v>Dark</v>
      </c>
      <c r="P920" t="str">
        <f>_xlfn.XLOOKUP(Table1[[#This Row],[Customer ID]],customers!$A$2:$A$1001,customers!$I$2:$I$1001,,0)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INDEX(products!$A$1:$G$49,MATCH(orders!$D921,products!$A$1:$A$49,0),MATCH(I$1,products!$A$1:$G$1,0))</f>
        <v>Rob</v>
      </c>
      <c r="J921" t="str">
        <f>INDEX(products!$A$1:$G$49,MATCH(orders!$D921,products!$A$1:$A$49,0),MATCH(J$1,products!$A$1:$G$1,0))</f>
        <v>D</v>
      </c>
      <c r="K921" s="6">
        <f>INDEX(products!$A$1:$G$49,MATCH(orders!$D921,products!$A$1:$A$49,0),MATCH(K$1,products!$A$1:$G$1,0))</f>
        <v>0.2</v>
      </c>
      <c r="L921" s="7">
        <f>INDEX(products!$A$1:$G$49,MATCH(orders!$D921,products!$A$1:$A$49,0),MATCH(L$1,products!$A$1:$G$1,0))</f>
        <v>2.6849999999999996</v>
      </c>
      <c r="M921" s="7">
        <f t="shared" si="42"/>
        <v>13.424999999999997</v>
      </c>
      <c r="N921" t="str">
        <f t="shared" si="43"/>
        <v>Robusta</v>
      </c>
      <c r="O921" t="str">
        <f t="shared" si="44"/>
        <v>Dark</v>
      </c>
      <c r="P921" t="str">
        <f>_xlfn.XLOOKUP(Table1[[#This Row],[Customer ID]],customers!$A$2:$A$1001,customers!$I$2:$I$1001,,0)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INDEX(products!$A$1:$G$49,MATCH(orders!$D922,products!$A$1:$A$49,0),MATCH(I$1,products!$A$1:$G$1,0))</f>
        <v>Rob</v>
      </c>
      <c r="J922" t="str">
        <f>INDEX(products!$A$1:$G$49,MATCH(orders!$D922,products!$A$1:$A$49,0),MATCH(J$1,products!$A$1:$G$1,0))</f>
        <v>D</v>
      </c>
      <c r="K922" s="6">
        <f>INDEX(products!$A$1:$G$49,MATCH(orders!$D922,products!$A$1:$A$49,0),MATCH(K$1,products!$A$1:$G$1,0))</f>
        <v>2.5</v>
      </c>
      <c r="L922" s="7">
        <f>INDEX(products!$A$1:$G$49,MATCH(orders!$D922,products!$A$1:$A$49,0),MATCH(L$1,products!$A$1:$G$1,0))</f>
        <v>20.584999999999997</v>
      </c>
      <c r="M922" s="7">
        <f t="shared" si="42"/>
        <v>123.50999999999999</v>
      </c>
      <c r="N922" t="str">
        <f t="shared" si="43"/>
        <v>Robusta</v>
      </c>
      <c r="O922" t="str">
        <f t="shared" si="44"/>
        <v>Dark</v>
      </c>
      <c r="P922" t="str">
        <f>_xlfn.XLOOKUP(Table1[[#This Row],[Customer ID]],customers!$A$2:$A$1001,customers!$I$2:$I$1001,,0)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INDEX(products!$A$1:$G$49,MATCH(orders!$D923,products!$A$1:$A$49,0),MATCH(I$1,products!$A$1:$G$1,0))</f>
        <v>Lib</v>
      </c>
      <c r="J923" t="str">
        <f>INDEX(products!$A$1:$G$49,MATCH(orders!$D923,products!$A$1:$A$49,0),MATCH(J$1,products!$A$1:$G$1,0))</f>
        <v>D</v>
      </c>
      <c r="K923" s="6">
        <f>INDEX(products!$A$1:$G$49,MATCH(orders!$D923,products!$A$1:$A$49,0),MATCH(K$1,products!$A$1:$G$1,0))</f>
        <v>0.2</v>
      </c>
      <c r="L923" s="7">
        <f>INDEX(products!$A$1:$G$49,MATCH(orders!$D923,products!$A$1:$A$49,0),MATCH(L$1,products!$A$1:$G$1,0))</f>
        <v>3.8849999999999998</v>
      </c>
      <c r="M923" s="7">
        <f t="shared" si="42"/>
        <v>7.77</v>
      </c>
      <c r="N923" t="str">
        <f t="shared" si="43"/>
        <v>Liberica</v>
      </c>
      <c r="O923" t="str">
        <f t="shared" si="44"/>
        <v>Dark</v>
      </c>
      <c r="P923" t="str">
        <f>_xlfn.XLOOKUP(Table1[[#This Row],[Customer ID]],customers!$A$2:$A$1001,customers!$I$2:$I$1001,,0)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INDEX(products!$A$1:$G$49,MATCH(orders!$D924,products!$A$1:$A$49,0),MATCH(I$1,products!$A$1:$G$1,0))</f>
        <v>Ara</v>
      </c>
      <c r="J924" t="str">
        <f>INDEX(products!$A$1:$G$49,MATCH(orders!$D924,products!$A$1:$A$49,0),MATCH(J$1,products!$A$1:$G$1,0))</f>
        <v>M</v>
      </c>
      <c r="K924" s="6">
        <f>INDEX(products!$A$1:$G$49,MATCH(orders!$D924,products!$A$1:$A$49,0),MATCH(K$1,products!$A$1:$G$1,0))</f>
        <v>1</v>
      </c>
      <c r="L924" s="7">
        <f>INDEX(products!$A$1:$G$49,MATCH(orders!$D924,products!$A$1:$A$49,0),MATCH(L$1,products!$A$1:$G$1,0))</f>
        <v>11.25</v>
      </c>
      <c r="M924" s="7">
        <f t="shared" si="42"/>
        <v>67.5</v>
      </c>
      <c r="N924" t="str">
        <f t="shared" si="43"/>
        <v>Arabica</v>
      </c>
      <c r="O924" t="str">
        <f t="shared" si="44"/>
        <v>Medium</v>
      </c>
      <c r="P924" t="str">
        <f>_xlfn.XLOOKUP(Table1[[#This Row],[Customer ID]],customers!$A$2:$A$1001,customers!$I$2:$I$1001,,0)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INDEX(products!$A$1:$G$49,MATCH(orders!$D925,products!$A$1:$A$49,0),MATCH(I$1,products!$A$1:$G$1,0))</f>
        <v>Exc</v>
      </c>
      <c r="J925" t="str">
        <f>INDEX(products!$A$1:$G$49,MATCH(orders!$D925,products!$A$1:$A$49,0),MATCH(J$1,products!$A$1:$G$1,0))</f>
        <v>D</v>
      </c>
      <c r="K925" s="6">
        <f>INDEX(products!$A$1:$G$49,MATCH(orders!$D925,products!$A$1:$A$49,0),MATCH(K$1,products!$A$1:$G$1,0))</f>
        <v>2.5</v>
      </c>
      <c r="L925" s="7">
        <f>INDEX(products!$A$1:$G$49,MATCH(orders!$D925,products!$A$1:$A$49,0),MATCH(L$1,products!$A$1:$G$1,0))</f>
        <v>27.945</v>
      </c>
      <c r="M925" s="7">
        <f t="shared" si="42"/>
        <v>27.945</v>
      </c>
      <c r="N925" t="str">
        <f t="shared" si="43"/>
        <v>Excelsa</v>
      </c>
      <c r="O925" t="str">
        <f t="shared" si="44"/>
        <v>Dark</v>
      </c>
      <c r="P925" t="str">
        <f>_xlfn.XLOOKUP(Table1[[#This Row],[Customer ID]],customers!$A$2:$A$1001,customers!$I$2:$I$1001,,0)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INDEX(products!$A$1:$G$49,MATCH(orders!$D926,products!$A$1:$A$49,0),MATCH(I$1,products!$A$1:$G$1,0))</f>
        <v>Ara</v>
      </c>
      <c r="J926" t="str">
        <f>INDEX(products!$A$1:$G$49,MATCH(orders!$D926,products!$A$1:$A$49,0),MATCH(J$1,products!$A$1:$G$1,0))</f>
        <v>L</v>
      </c>
      <c r="K926" s="6">
        <f>INDEX(products!$A$1:$G$49,MATCH(orders!$D926,products!$A$1:$A$49,0),MATCH(K$1,products!$A$1:$G$1,0))</f>
        <v>2.5</v>
      </c>
      <c r="L926" s="7">
        <f>INDEX(products!$A$1:$G$49,MATCH(orders!$D926,products!$A$1:$A$49,0),MATCH(L$1,products!$A$1:$G$1,0))</f>
        <v>29.784999999999997</v>
      </c>
      <c r="M926" s="7">
        <f t="shared" si="42"/>
        <v>89.35499999999999</v>
      </c>
      <c r="N926" t="str">
        <f t="shared" si="43"/>
        <v>Arabica</v>
      </c>
      <c r="O926" t="str">
        <f t="shared" si="44"/>
        <v>Light</v>
      </c>
      <c r="P926" t="str">
        <f>_xlfn.XLOOKUP(Table1[[#This Row],[Customer ID]],customers!$A$2:$A$1001,customers!$I$2:$I$1001,,0)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INDEX(products!$A$1:$G$49,MATCH(orders!$D927,products!$A$1:$A$49,0),MATCH(I$1,products!$A$1:$G$1,0))</f>
        <v>Ara</v>
      </c>
      <c r="J927" t="str">
        <f>INDEX(products!$A$1:$G$49,MATCH(orders!$D927,products!$A$1:$A$49,0),MATCH(J$1,products!$A$1:$G$1,0))</f>
        <v>M</v>
      </c>
      <c r="K927" s="6">
        <f>INDEX(products!$A$1:$G$49,MATCH(orders!$D927,products!$A$1:$A$49,0),MATCH(K$1,products!$A$1:$G$1,0))</f>
        <v>0.5</v>
      </c>
      <c r="L927" s="7">
        <f>INDEX(products!$A$1:$G$49,MATCH(orders!$D927,products!$A$1:$A$49,0),MATCH(L$1,products!$A$1:$G$1,0))</f>
        <v>6.75</v>
      </c>
      <c r="M927" s="7">
        <f t="shared" si="42"/>
        <v>20.25</v>
      </c>
      <c r="N927" t="str">
        <f t="shared" si="43"/>
        <v>Arabica</v>
      </c>
      <c r="O927" t="str">
        <f t="shared" si="44"/>
        <v>Medium</v>
      </c>
      <c r="P927" t="str">
        <f>_xlfn.XLOOKUP(Table1[[#This Row],[Customer ID]],customers!$A$2:$A$1001,customers!$I$2:$I$1001,,0)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INDEX(products!$A$1:$G$49,MATCH(orders!$D928,products!$A$1:$A$49,0),MATCH(I$1,products!$A$1:$G$1,0))</f>
        <v>Ara</v>
      </c>
      <c r="J928" t="str">
        <f>INDEX(products!$A$1:$G$49,MATCH(orders!$D928,products!$A$1:$A$49,0),MATCH(J$1,products!$A$1:$G$1,0))</f>
        <v>M</v>
      </c>
      <c r="K928" s="6">
        <f>INDEX(products!$A$1:$G$49,MATCH(orders!$D928,products!$A$1:$A$49,0),MATCH(K$1,products!$A$1:$G$1,0))</f>
        <v>0.5</v>
      </c>
      <c r="L928" s="7">
        <f>INDEX(products!$A$1:$G$49,MATCH(orders!$D928,products!$A$1:$A$49,0),MATCH(L$1,products!$A$1:$G$1,0))</f>
        <v>6.75</v>
      </c>
      <c r="M928" s="7">
        <f t="shared" si="42"/>
        <v>33.75</v>
      </c>
      <c r="N928" t="str">
        <f t="shared" si="43"/>
        <v>Arabica</v>
      </c>
      <c r="O928" t="str">
        <f t="shared" si="44"/>
        <v>Medium</v>
      </c>
      <c r="P928" t="str">
        <f>_xlfn.XLOOKUP(Table1[[#This Row],[Customer ID]],customers!$A$2:$A$1001,customers!$I$2:$I$1001,,0)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INDEX(products!$A$1:$G$49,MATCH(orders!$D929,products!$A$1:$A$49,0),MATCH(I$1,products!$A$1:$G$1,0))</f>
        <v>Exc</v>
      </c>
      <c r="J929" t="str">
        <f>INDEX(products!$A$1:$G$49,MATCH(orders!$D929,products!$A$1:$A$49,0),MATCH(J$1,products!$A$1:$G$1,0))</f>
        <v>D</v>
      </c>
      <c r="K929" s="6">
        <f>INDEX(products!$A$1:$G$49,MATCH(orders!$D929,products!$A$1:$A$49,0),MATCH(K$1,products!$A$1:$G$1,0))</f>
        <v>2.5</v>
      </c>
      <c r="L929" s="7">
        <f>INDEX(products!$A$1:$G$49,MATCH(orders!$D929,products!$A$1:$A$49,0),MATCH(L$1,products!$A$1:$G$1,0))</f>
        <v>27.945</v>
      </c>
      <c r="M929" s="7">
        <f t="shared" si="42"/>
        <v>111.78</v>
      </c>
      <c r="N929" t="str">
        <f t="shared" si="43"/>
        <v>Excelsa</v>
      </c>
      <c r="O929" t="str">
        <f t="shared" si="44"/>
        <v>Dark</v>
      </c>
      <c r="P929" t="str">
        <f>_xlfn.XLOOKUP(Table1[[#This Row],[Customer ID]],customers!$A$2:$A$1001,customers!$I$2:$I$1001,,0)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INDEX(products!$A$1:$G$49,MATCH(orders!$D930,products!$A$1:$A$49,0),MATCH(I$1,products!$A$1:$G$1,0))</f>
        <v>Exc</v>
      </c>
      <c r="J930" t="str">
        <f>INDEX(products!$A$1:$G$49,MATCH(orders!$D930,products!$A$1:$A$49,0),MATCH(J$1,products!$A$1:$G$1,0))</f>
        <v>M</v>
      </c>
      <c r="K930" s="6">
        <f>INDEX(products!$A$1:$G$49,MATCH(orders!$D930,products!$A$1:$A$49,0),MATCH(K$1,products!$A$1:$G$1,0))</f>
        <v>2.5</v>
      </c>
      <c r="L930" s="7">
        <f>INDEX(products!$A$1:$G$49,MATCH(orders!$D930,products!$A$1:$A$49,0),MATCH(L$1,products!$A$1:$G$1,0))</f>
        <v>31.624999999999996</v>
      </c>
      <c r="M930" s="7">
        <f t="shared" si="42"/>
        <v>63.249999999999993</v>
      </c>
      <c r="N930" t="str">
        <f t="shared" si="43"/>
        <v>Excelsa</v>
      </c>
      <c r="O930" t="str">
        <f t="shared" si="44"/>
        <v>Medium</v>
      </c>
      <c r="P930" t="str">
        <f>_xlfn.XLOOKUP(Table1[[#This Row],[Customer ID]],customers!$A$2:$A$1001,customers!$I$2:$I$1001,,0)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INDEX(products!$A$1:$G$49,MATCH(orders!$D931,products!$A$1:$A$49,0),MATCH(I$1,products!$A$1:$G$1,0))</f>
        <v>Exc</v>
      </c>
      <c r="J931" t="str">
        <f>INDEX(products!$A$1:$G$49,MATCH(orders!$D931,products!$A$1:$A$49,0),MATCH(J$1,products!$A$1:$G$1,0))</f>
        <v>L</v>
      </c>
      <c r="K931" s="6">
        <f>INDEX(products!$A$1:$G$49,MATCH(orders!$D931,products!$A$1:$A$49,0),MATCH(K$1,products!$A$1:$G$1,0))</f>
        <v>0.2</v>
      </c>
      <c r="L931" s="7">
        <f>INDEX(products!$A$1:$G$49,MATCH(orders!$D931,products!$A$1:$A$49,0),MATCH(L$1,products!$A$1:$G$1,0))</f>
        <v>4.4550000000000001</v>
      </c>
      <c r="M931" s="7">
        <f t="shared" si="42"/>
        <v>8.91</v>
      </c>
      <c r="N931" t="str">
        <f t="shared" si="43"/>
        <v>Excelsa</v>
      </c>
      <c r="O931" t="str">
        <f t="shared" si="44"/>
        <v>Light</v>
      </c>
      <c r="P931" t="str">
        <f>_xlfn.XLOOKUP(Table1[[#This Row],[Customer ID]],customers!$A$2:$A$1001,customers!$I$2:$I$1001,,0)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INDEX(products!$A$1:$G$49,MATCH(orders!$D932,products!$A$1:$A$49,0),MATCH(I$1,products!$A$1:$G$1,0))</f>
        <v>Exc</v>
      </c>
      <c r="J932" t="str">
        <f>INDEX(products!$A$1:$G$49,MATCH(orders!$D932,products!$A$1:$A$49,0),MATCH(J$1,products!$A$1:$G$1,0))</f>
        <v>D</v>
      </c>
      <c r="K932" s="6">
        <f>INDEX(products!$A$1:$G$49,MATCH(orders!$D932,products!$A$1:$A$49,0),MATCH(K$1,products!$A$1:$G$1,0))</f>
        <v>1</v>
      </c>
      <c r="L932" s="7">
        <f>INDEX(products!$A$1:$G$49,MATCH(orders!$D932,products!$A$1:$A$49,0),MATCH(L$1,products!$A$1:$G$1,0))</f>
        <v>12.15</v>
      </c>
      <c r="M932" s="7">
        <f t="shared" si="42"/>
        <v>12.15</v>
      </c>
      <c r="N932" t="str">
        <f t="shared" si="43"/>
        <v>Excelsa</v>
      </c>
      <c r="O932" t="str">
        <f t="shared" si="44"/>
        <v>Dark</v>
      </c>
      <c r="P932" t="str">
        <f>_xlfn.XLOOKUP(Table1[[#This Row],[Customer ID]],customers!$A$2:$A$1001,customers!$I$2:$I$1001,,0)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INDEX(products!$A$1:$G$49,MATCH(orders!$D933,products!$A$1:$A$49,0),MATCH(I$1,products!$A$1:$G$1,0))</f>
        <v>Ara</v>
      </c>
      <c r="J933" t="str">
        <f>INDEX(products!$A$1:$G$49,MATCH(orders!$D933,products!$A$1:$A$49,0),MATCH(J$1,products!$A$1:$G$1,0))</f>
        <v>D</v>
      </c>
      <c r="K933" s="6">
        <f>INDEX(products!$A$1:$G$49,MATCH(orders!$D933,products!$A$1:$A$49,0),MATCH(K$1,products!$A$1:$G$1,0))</f>
        <v>0.5</v>
      </c>
      <c r="L933" s="7">
        <f>INDEX(products!$A$1:$G$49,MATCH(orders!$D933,products!$A$1:$A$49,0),MATCH(L$1,products!$A$1:$G$1,0))</f>
        <v>5.97</v>
      </c>
      <c r="M933" s="7">
        <f t="shared" si="42"/>
        <v>23.88</v>
      </c>
      <c r="N933" t="str">
        <f t="shared" si="43"/>
        <v>Arabica</v>
      </c>
      <c r="O933" t="str">
        <f t="shared" si="44"/>
        <v>Dark</v>
      </c>
      <c r="P933" t="str">
        <f>_xlfn.XLOOKUP(Table1[[#This Row],[Customer ID]],customers!$A$2:$A$1001,customers!$I$2:$I$1001,,0)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INDEX(products!$A$1:$G$49,MATCH(orders!$D934,products!$A$1:$A$49,0),MATCH(I$1,products!$A$1:$G$1,0))</f>
        <v>Exc</v>
      </c>
      <c r="J934" t="str">
        <f>INDEX(products!$A$1:$G$49,MATCH(orders!$D934,products!$A$1:$A$49,0),MATCH(J$1,products!$A$1:$G$1,0))</f>
        <v>M</v>
      </c>
      <c r="K934" s="6">
        <f>INDEX(products!$A$1:$G$49,MATCH(orders!$D934,products!$A$1:$A$49,0),MATCH(K$1,products!$A$1:$G$1,0))</f>
        <v>1</v>
      </c>
      <c r="L934" s="7">
        <f>INDEX(products!$A$1:$G$49,MATCH(orders!$D934,products!$A$1:$A$49,0),MATCH(L$1,products!$A$1:$G$1,0))</f>
        <v>13.75</v>
      </c>
      <c r="M934" s="7">
        <f t="shared" si="42"/>
        <v>55</v>
      </c>
      <c r="N934" t="str">
        <f t="shared" si="43"/>
        <v>Excelsa</v>
      </c>
      <c r="O934" t="str">
        <f t="shared" si="44"/>
        <v>Medium</v>
      </c>
      <c r="P934" t="str">
        <f>_xlfn.XLOOKUP(Table1[[#This Row],[Customer ID]],customers!$A$2:$A$1001,customers!$I$2:$I$1001,,0)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INDEX(products!$A$1:$G$49,MATCH(orders!$D935,products!$A$1:$A$49,0),MATCH(I$1,products!$A$1:$G$1,0))</f>
        <v>Rob</v>
      </c>
      <c r="J935" t="str">
        <f>INDEX(products!$A$1:$G$49,MATCH(orders!$D935,products!$A$1:$A$49,0),MATCH(J$1,products!$A$1:$G$1,0))</f>
        <v>D</v>
      </c>
      <c r="K935" s="6">
        <f>INDEX(products!$A$1:$G$49,MATCH(orders!$D935,products!$A$1:$A$49,0),MATCH(K$1,products!$A$1:$G$1,0))</f>
        <v>1</v>
      </c>
      <c r="L935" s="7">
        <f>INDEX(products!$A$1:$G$49,MATCH(orders!$D935,products!$A$1:$A$49,0),MATCH(L$1,products!$A$1:$G$1,0))</f>
        <v>8.9499999999999993</v>
      </c>
      <c r="M935" s="7">
        <f t="shared" si="42"/>
        <v>26.849999999999998</v>
      </c>
      <c r="N935" t="str">
        <f t="shared" si="43"/>
        <v>Robusta</v>
      </c>
      <c r="O935" t="str">
        <f t="shared" si="44"/>
        <v>Dark</v>
      </c>
      <c r="P935" t="str">
        <f>_xlfn.XLOOKUP(Table1[[#This Row],[Customer ID]],customers!$A$2:$A$1001,customers!$I$2:$I$1001,,0)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INDEX(products!$A$1:$G$49,MATCH(orders!$D936,products!$A$1:$A$49,0),MATCH(I$1,products!$A$1:$G$1,0))</f>
        <v>Rob</v>
      </c>
      <c r="J936" t="str">
        <f>INDEX(products!$A$1:$G$49,MATCH(orders!$D936,products!$A$1:$A$49,0),MATCH(J$1,products!$A$1:$G$1,0))</f>
        <v>M</v>
      </c>
      <c r="K936" s="6">
        <f>INDEX(products!$A$1:$G$49,MATCH(orders!$D936,products!$A$1:$A$49,0),MATCH(K$1,products!$A$1:$G$1,0))</f>
        <v>2.5</v>
      </c>
      <c r="L936" s="7">
        <f>INDEX(products!$A$1:$G$49,MATCH(orders!$D936,products!$A$1:$A$49,0),MATCH(L$1,products!$A$1:$G$1,0))</f>
        <v>22.884999999999998</v>
      </c>
      <c r="M936" s="7">
        <f t="shared" si="42"/>
        <v>114.42499999999998</v>
      </c>
      <c r="N936" t="str">
        <f t="shared" si="43"/>
        <v>Robusta</v>
      </c>
      <c r="O936" t="str">
        <f t="shared" si="44"/>
        <v>Medium</v>
      </c>
      <c r="P936" t="str">
        <f>_xlfn.XLOOKUP(Table1[[#This Row],[Customer ID]],customers!$A$2:$A$1001,customers!$I$2:$I$1001,,0)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INDEX(products!$A$1:$G$49,MATCH(orders!$D937,products!$A$1:$A$49,0),MATCH(I$1,products!$A$1:$G$1,0))</f>
        <v>Ara</v>
      </c>
      <c r="J937" t="str">
        <f>INDEX(products!$A$1:$G$49,MATCH(orders!$D937,products!$A$1:$A$49,0),MATCH(J$1,products!$A$1:$G$1,0))</f>
        <v>M</v>
      </c>
      <c r="K937" s="6">
        <f>INDEX(products!$A$1:$G$49,MATCH(orders!$D937,products!$A$1:$A$49,0),MATCH(K$1,products!$A$1:$G$1,0))</f>
        <v>2.5</v>
      </c>
      <c r="L937" s="7">
        <f>INDEX(products!$A$1:$G$49,MATCH(orders!$D937,products!$A$1:$A$49,0),MATCH(L$1,products!$A$1:$G$1,0))</f>
        <v>25.874999999999996</v>
      </c>
      <c r="M937" s="7">
        <f t="shared" si="42"/>
        <v>155.24999999999997</v>
      </c>
      <c r="N937" t="str">
        <f t="shared" si="43"/>
        <v>Arabica</v>
      </c>
      <c r="O937" t="str">
        <f t="shared" si="44"/>
        <v>Medium</v>
      </c>
      <c r="P937" t="str">
        <f>_xlfn.XLOOKUP(Table1[[#This Row],[Customer ID]],customers!$A$2:$A$1001,customers!$I$2:$I$1001,,0)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INDEX(products!$A$1:$G$49,MATCH(orders!$D938,products!$A$1:$A$49,0),MATCH(I$1,products!$A$1:$G$1,0))</f>
        <v>Lib</v>
      </c>
      <c r="J938" t="str">
        <f>INDEX(products!$A$1:$G$49,MATCH(orders!$D938,products!$A$1:$A$49,0),MATCH(J$1,products!$A$1:$G$1,0))</f>
        <v>D</v>
      </c>
      <c r="K938" s="6">
        <f>INDEX(products!$A$1:$G$49,MATCH(orders!$D938,products!$A$1:$A$49,0),MATCH(K$1,products!$A$1:$G$1,0))</f>
        <v>0.5</v>
      </c>
      <c r="L938" s="7">
        <f>INDEX(products!$A$1:$G$49,MATCH(orders!$D938,products!$A$1:$A$49,0),MATCH(L$1,products!$A$1:$G$1,0))</f>
        <v>7.77</v>
      </c>
      <c r="M938" s="7">
        <f t="shared" si="42"/>
        <v>23.31</v>
      </c>
      <c r="N938" t="str">
        <f t="shared" si="43"/>
        <v>Liberica</v>
      </c>
      <c r="O938" t="str">
        <f t="shared" si="44"/>
        <v>Dark</v>
      </c>
      <c r="P938" t="str">
        <f>_xlfn.XLOOKUP(Table1[[#This Row],[Customer ID]],customers!$A$2:$A$1001,customers!$I$2:$I$1001,,0)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INDEX(products!$A$1:$G$49,MATCH(orders!$D939,products!$A$1:$A$49,0),MATCH(I$1,products!$A$1:$G$1,0))</f>
        <v>Rob</v>
      </c>
      <c r="J939" t="str">
        <f>INDEX(products!$A$1:$G$49,MATCH(orders!$D939,products!$A$1:$A$49,0),MATCH(J$1,products!$A$1:$G$1,0))</f>
        <v>M</v>
      </c>
      <c r="K939" s="6">
        <f>INDEX(products!$A$1:$G$49,MATCH(orders!$D939,products!$A$1:$A$49,0),MATCH(K$1,products!$A$1:$G$1,0))</f>
        <v>2.5</v>
      </c>
      <c r="L939" s="7">
        <f>INDEX(products!$A$1:$G$49,MATCH(orders!$D939,products!$A$1:$A$49,0),MATCH(L$1,products!$A$1:$G$1,0))</f>
        <v>22.884999999999998</v>
      </c>
      <c r="M939" s="7">
        <f t="shared" si="42"/>
        <v>91.539999999999992</v>
      </c>
      <c r="N939" t="str">
        <f t="shared" si="43"/>
        <v>Robusta</v>
      </c>
      <c r="O939" t="str">
        <f t="shared" si="44"/>
        <v>Medium</v>
      </c>
      <c r="P939" t="str">
        <f>_xlfn.XLOOKUP(Table1[[#This Row],[Customer ID]],customers!$A$2:$A$1001,customers!$I$2:$I$1001,,0)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INDEX(products!$A$1:$G$49,MATCH(orders!$D940,products!$A$1:$A$49,0),MATCH(I$1,products!$A$1:$G$1,0))</f>
        <v>Exc</v>
      </c>
      <c r="J940" t="str">
        <f>INDEX(products!$A$1:$G$49,MATCH(orders!$D940,products!$A$1:$A$49,0),MATCH(J$1,products!$A$1:$G$1,0))</f>
        <v>L</v>
      </c>
      <c r="K940" s="6">
        <f>INDEX(products!$A$1:$G$49,MATCH(orders!$D940,products!$A$1:$A$49,0),MATCH(K$1,products!$A$1:$G$1,0))</f>
        <v>1</v>
      </c>
      <c r="L940" s="7">
        <f>INDEX(products!$A$1:$G$49,MATCH(orders!$D940,products!$A$1:$A$49,0),MATCH(L$1,products!$A$1:$G$1,0))</f>
        <v>14.85</v>
      </c>
      <c r="M940" s="7">
        <f t="shared" si="42"/>
        <v>74.25</v>
      </c>
      <c r="N940" t="str">
        <f t="shared" si="43"/>
        <v>Excelsa</v>
      </c>
      <c r="O940" t="str">
        <f t="shared" si="44"/>
        <v>Light</v>
      </c>
      <c r="P940" t="str">
        <f>_xlfn.XLOOKUP(Table1[[#This Row],[Customer ID]],customers!$A$2:$A$1001,customers!$I$2:$I$1001,,0)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INDEX(products!$A$1:$G$49,MATCH(orders!$D941,products!$A$1:$A$49,0),MATCH(I$1,products!$A$1:$G$1,0))</f>
        <v>Lib</v>
      </c>
      <c r="J941" t="str">
        <f>INDEX(products!$A$1:$G$49,MATCH(orders!$D941,products!$A$1:$A$49,0),MATCH(J$1,products!$A$1:$G$1,0))</f>
        <v>L</v>
      </c>
      <c r="K941" s="6">
        <f>INDEX(products!$A$1:$G$49,MATCH(orders!$D941,products!$A$1:$A$49,0),MATCH(K$1,products!$A$1:$G$1,0))</f>
        <v>0.2</v>
      </c>
      <c r="L941" s="7">
        <f>INDEX(products!$A$1:$G$49,MATCH(orders!$D941,products!$A$1:$A$49,0),MATCH(L$1,products!$A$1:$G$1,0))</f>
        <v>4.7549999999999999</v>
      </c>
      <c r="M941" s="7">
        <f t="shared" si="42"/>
        <v>28.53</v>
      </c>
      <c r="N941" t="str">
        <f t="shared" si="43"/>
        <v>Liberica</v>
      </c>
      <c r="O941" t="str">
        <f t="shared" si="44"/>
        <v>Light</v>
      </c>
      <c r="P941" t="str">
        <f>_xlfn.XLOOKUP(Table1[[#This Row],[Customer ID]],customers!$A$2:$A$1001,customers!$I$2:$I$1001,,0)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INDEX(products!$A$1:$G$49,MATCH(orders!$D942,products!$A$1:$A$49,0),MATCH(I$1,products!$A$1:$G$1,0))</f>
        <v>Rob</v>
      </c>
      <c r="J942" t="str">
        <f>INDEX(products!$A$1:$G$49,MATCH(orders!$D942,products!$A$1:$A$49,0),MATCH(J$1,products!$A$1:$G$1,0))</f>
        <v>L</v>
      </c>
      <c r="K942" s="6">
        <f>INDEX(products!$A$1:$G$49,MATCH(orders!$D942,products!$A$1:$A$49,0),MATCH(K$1,products!$A$1:$G$1,0))</f>
        <v>0.5</v>
      </c>
      <c r="L942" s="7">
        <f>INDEX(products!$A$1:$G$49,MATCH(orders!$D942,products!$A$1:$A$49,0),MATCH(L$1,products!$A$1:$G$1,0))</f>
        <v>7.169999999999999</v>
      </c>
      <c r="M942" s="7">
        <f t="shared" si="42"/>
        <v>14.339999999999998</v>
      </c>
      <c r="N942" t="str">
        <f t="shared" si="43"/>
        <v>Robusta</v>
      </c>
      <c r="O942" t="str">
        <f t="shared" si="44"/>
        <v>Light</v>
      </c>
      <c r="P942" t="str">
        <f>_xlfn.XLOOKUP(Table1[[#This Row],[Customer ID]],customers!$A$2:$A$1001,customers!$I$2:$I$1001,,0)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INDEX(products!$A$1:$G$49,MATCH(orders!$D943,products!$A$1:$A$49,0),MATCH(I$1,products!$A$1:$G$1,0))</f>
        <v>Ara</v>
      </c>
      <c r="J943" t="str">
        <f>INDEX(products!$A$1:$G$49,MATCH(orders!$D943,products!$A$1:$A$49,0),MATCH(J$1,products!$A$1:$G$1,0))</f>
        <v>L</v>
      </c>
      <c r="K943" s="6">
        <f>INDEX(products!$A$1:$G$49,MATCH(orders!$D943,products!$A$1:$A$49,0),MATCH(K$1,products!$A$1:$G$1,0))</f>
        <v>0.5</v>
      </c>
      <c r="L943" s="7">
        <f>INDEX(products!$A$1:$G$49,MATCH(orders!$D943,products!$A$1:$A$49,0),MATCH(L$1,products!$A$1:$G$1,0))</f>
        <v>7.77</v>
      </c>
      <c r="M943" s="7">
        <f t="shared" si="42"/>
        <v>15.54</v>
      </c>
      <c r="N943" t="str">
        <f t="shared" si="43"/>
        <v>Arabica</v>
      </c>
      <c r="O943" t="str">
        <f t="shared" si="44"/>
        <v>Light</v>
      </c>
      <c r="P943" t="str">
        <f>_xlfn.XLOOKUP(Table1[[#This Row],[Customer ID]],customers!$A$2:$A$1001,customers!$I$2:$I$1001,,0)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INDEX(products!$A$1:$G$49,MATCH(orders!$D944,products!$A$1:$A$49,0),MATCH(I$1,products!$A$1:$G$1,0))</f>
        <v>Rob</v>
      </c>
      <c r="J944" t="str">
        <f>INDEX(products!$A$1:$G$49,MATCH(orders!$D944,products!$A$1:$A$49,0),MATCH(J$1,products!$A$1:$G$1,0))</f>
        <v>L</v>
      </c>
      <c r="K944" s="6">
        <f>INDEX(products!$A$1:$G$49,MATCH(orders!$D944,products!$A$1:$A$49,0),MATCH(K$1,products!$A$1:$G$1,0))</f>
        <v>1</v>
      </c>
      <c r="L944" s="7">
        <f>INDEX(products!$A$1:$G$49,MATCH(orders!$D944,products!$A$1:$A$49,0),MATCH(L$1,products!$A$1:$G$1,0))</f>
        <v>11.95</v>
      </c>
      <c r="M944" s="7">
        <f t="shared" si="42"/>
        <v>35.849999999999994</v>
      </c>
      <c r="N944" t="str">
        <f t="shared" si="43"/>
        <v>Robusta</v>
      </c>
      <c r="O944" t="str">
        <f t="shared" si="44"/>
        <v>Light</v>
      </c>
      <c r="P944" t="str">
        <f>_xlfn.XLOOKUP(Table1[[#This Row],[Customer ID]],customers!$A$2:$A$1001,customers!$I$2:$I$1001,,0)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INDEX(products!$A$1:$G$49,MATCH(orders!$D945,products!$A$1:$A$49,0),MATCH(I$1,products!$A$1:$G$1,0))</f>
        <v>Ara</v>
      </c>
      <c r="J945" t="str">
        <f>INDEX(products!$A$1:$G$49,MATCH(orders!$D945,products!$A$1:$A$49,0),MATCH(J$1,products!$A$1:$G$1,0))</f>
        <v>L</v>
      </c>
      <c r="K945" s="6">
        <f>INDEX(products!$A$1:$G$49,MATCH(orders!$D945,products!$A$1:$A$49,0),MATCH(K$1,products!$A$1:$G$1,0))</f>
        <v>0.5</v>
      </c>
      <c r="L945" s="7">
        <f>INDEX(products!$A$1:$G$49,MATCH(orders!$D945,products!$A$1:$A$49,0),MATCH(L$1,products!$A$1:$G$1,0))</f>
        <v>7.77</v>
      </c>
      <c r="M945" s="7">
        <f t="shared" si="42"/>
        <v>46.62</v>
      </c>
      <c r="N945" t="str">
        <f t="shared" si="43"/>
        <v>Arabica</v>
      </c>
      <c r="O945" t="str">
        <f t="shared" si="44"/>
        <v>Light</v>
      </c>
      <c r="P945" t="str">
        <f>_xlfn.XLOOKUP(Table1[[#This Row],[Customer ID]],customers!$A$2:$A$1001,customers!$I$2:$I$1001,,0)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INDEX(products!$A$1:$G$49,MATCH(orders!$D946,products!$A$1:$A$49,0),MATCH(I$1,products!$A$1:$G$1,0))</f>
        <v>Rob</v>
      </c>
      <c r="J946" t="str">
        <f>INDEX(products!$A$1:$G$49,MATCH(orders!$D946,products!$A$1:$A$49,0),MATCH(J$1,products!$A$1:$G$1,0))</f>
        <v>L</v>
      </c>
      <c r="K946" s="6">
        <f>INDEX(products!$A$1:$G$49,MATCH(orders!$D946,products!$A$1:$A$49,0),MATCH(K$1,products!$A$1:$G$1,0))</f>
        <v>0.5</v>
      </c>
      <c r="L946" s="7">
        <f>INDEX(products!$A$1:$G$49,MATCH(orders!$D946,products!$A$1:$A$49,0),MATCH(L$1,products!$A$1:$G$1,0))</f>
        <v>7.169999999999999</v>
      </c>
      <c r="M946" s="7">
        <f t="shared" si="42"/>
        <v>35.849999999999994</v>
      </c>
      <c r="N946" t="str">
        <f t="shared" si="43"/>
        <v>Robusta</v>
      </c>
      <c r="O946" t="str">
        <f t="shared" si="44"/>
        <v>Light</v>
      </c>
      <c r="P946" t="str">
        <f>_xlfn.XLOOKUP(Table1[[#This Row],[Customer ID]],customers!$A$2:$A$1001,customers!$I$2:$I$1001,,0)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INDEX(products!$A$1:$G$49,MATCH(orders!$D947,products!$A$1:$A$49,0),MATCH(I$1,products!$A$1:$G$1,0))</f>
        <v>Lib</v>
      </c>
      <c r="J947" t="str">
        <f>INDEX(products!$A$1:$G$49,MATCH(orders!$D947,products!$A$1:$A$49,0),MATCH(J$1,products!$A$1:$G$1,0))</f>
        <v>D</v>
      </c>
      <c r="K947" s="6">
        <f>INDEX(products!$A$1:$G$49,MATCH(orders!$D947,products!$A$1:$A$49,0),MATCH(K$1,products!$A$1:$G$1,0))</f>
        <v>2.5</v>
      </c>
      <c r="L947" s="7">
        <f>INDEX(products!$A$1:$G$49,MATCH(orders!$D947,products!$A$1:$A$49,0),MATCH(L$1,products!$A$1:$G$1,0))</f>
        <v>29.784999999999997</v>
      </c>
      <c r="M947" s="7">
        <f t="shared" si="42"/>
        <v>119.13999999999999</v>
      </c>
      <c r="N947" t="str">
        <f t="shared" si="43"/>
        <v>Liberica</v>
      </c>
      <c r="O947" t="str">
        <f t="shared" si="44"/>
        <v>Dark</v>
      </c>
      <c r="P947" t="str">
        <f>_xlfn.XLOOKUP(Table1[[#This Row],[Customer ID]],customers!$A$2:$A$1001,customers!$I$2:$I$1001,,0)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INDEX(products!$A$1:$G$49,MATCH(orders!$D948,products!$A$1:$A$49,0),MATCH(I$1,products!$A$1:$G$1,0))</f>
        <v>Lib</v>
      </c>
      <c r="J948" t="str">
        <f>INDEX(products!$A$1:$G$49,MATCH(orders!$D948,products!$A$1:$A$49,0),MATCH(J$1,products!$A$1:$G$1,0))</f>
        <v>D</v>
      </c>
      <c r="K948" s="6">
        <f>INDEX(products!$A$1:$G$49,MATCH(orders!$D948,products!$A$1:$A$49,0),MATCH(K$1,products!$A$1:$G$1,0))</f>
        <v>0.5</v>
      </c>
      <c r="L948" s="7">
        <f>INDEX(products!$A$1:$G$49,MATCH(orders!$D948,products!$A$1:$A$49,0),MATCH(L$1,products!$A$1:$G$1,0))</f>
        <v>7.77</v>
      </c>
      <c r="M948" s="7">
        <f t="shared" si="42"/>
        <v>23.31</v>
      </c>
      <c r="N948" t="str">
        <f t="shared" si="43"/>
        <v>Liberica</v>
      </c>
      <c r="O948" t="str">
        <f t="shared" si="44"/>
        <v>Dark</v>
      </c>
      <c r="P948" t="str">
        <f>_xlfn.XLOOKUP(Table1[[#This Row],[Customer ID]],customers!$A$2:$A$1001,customers!$I$2:$I$1001,,0)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INDEX(products!$A$1:$G$49,MATCH(orders!$D949,products!$A$1:$A$49,0),MATCH(I$1,products!$A$1:$G$1,0))</f>
        <v>Ara</v>
      </c>
      <c r="J949" t="str">
        <f>INDEX(products!$A$1:$G$49,MATCH(orders!$D949,products!$A$1:$A$49,0),MATCH(J$1,products!$A$1:$G$1,0))</f>
        <v>M</v>
      </c>
      <c r="K949" s="6">
        <f>INDEX(products!$A$1:$G$49,MATCH(orders!$D949,products!$A$1:$A$49,0),MATCH(K$1,products!$A$1:$G$1,0))</f>
        <v>1</v>
      </c>
      <c r="L949" s="7">
        <f>INDEX(products!$A$1:$G$49,MATCH(orders!$D949,products!$A$1:$A$49,0),MATCH(L$1,products!$A$1:$G$1,0))</f>
        <v>11.25</v>
      </c>
      <c r="M949" s="7">
        <f t="shared" si="42"/>
        <v>11.25</v>
      </c>
      <c r="N949" t="str">
        <f t="shared" si="43"/>
        <v>Arabica</v>
      </c>
      <c r="O949" t="str">
        <f t="shared" si="44"/>
        <v>Medium</v>
      </c>
      <c r="P949" t="str">
        <f>_xlfn.XLOOKUP(Table1[[#This Row],[Customer ID]],customers!$A$2:$A$1001,customers!$I$2:$I$1001,,0)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INDEX(products!$A$1:$G$49,MATCH(orders!$D950,products!$A$1:$A$49,0),MATCH(I$1,products!$A$1:$G$1,0))</f>
        <v>Exc</v>
      </c>
      <c r="J950" t="str">
        <f>INDEX(products!$A$1:$G$49,MATCH(orders!$D950,products!$A$1:$A$49,0),MATCH(J$1,products!$A$1:$G$1,0))</f>
        <v>D</v>
      </c>
      <c r="K950" s="6">
        <f>INDEX(products!$A$1:$G$49,MATCH(orders!$D950,products!$A$1:$A$49,0),MATCH(K$1,products!$A$1:$G$1,0))</f>
        <v>2.5</v>
      </c>
      <c r="L950" s="7">
        <f>INDEX(products!$A$1:$G$49,MATCH(orders!$D950,products!$A$1:$A$49,0),MATCH(L$1,products!$A$1:$G$1,0))</f>
        <v>27.945</v>
      </c>
      <c r="M950" s="7">
        <f t="shared" si="42"/>
        <v>83.835000000000008</v>
      </c>
      <c r="N950" t="str">
        <f t="shared" si="43"/>
        <v>Excelsa</v>
      </c>
      <c r="O950" t="str">
        <f t="shared" si="44"/>
        <v>Dark</v>
      </c>
      <c r="P950" t="str">
        <f>_xlfn.XLOOKUP(Table1[[#This Row],[Customer ID]],customers!$A$2:$A$1001,customers!$I$2:$I$1001,,0)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INDEX(products!$A$1:$G$49,MATCH(orders!$D951,products!$A$1:$A$49,0),MATCH(I$1,products!$A$1:$G$1,0))</f>
        <v>Rob</v>
      </c>
      <c r="J951" t="str">
        <f>INDEX(products!$A$1:$G$49,MATCH(orders!$D951,products!$A$1:$A$49,0),MATCH(J$1,products!$A$1:$G$1,0))</f>
        <v>L</v>
      </c>
      <c r="K951" s="6">
        <f>INDEX(products!$A$1:$G$49,MATCH(orders!$D951,products!$A$1:$A$49,0),MATCH(K$1,products!$A$1:$G$1,0))</f>
        <v>2.5</v>
      </c>
      <c r="L951" s="7">
        <f>INDEX(products!$A$1:$G$49,MATCH(orders!$D951,products!$A$1:$A$49,0),MATCH(L$1,products!$A$1:$G$1,0))</f>
        <v>27.484999999999996</v>
      </c>
      <c r="M951" s="7">
        <f t="shared" si="42"/>
        <v>109.93999999999998</v>
      </c>
      <c r="N951" t="str">
        <f t="shared" si="43"/>
        <v>Robusta</v>
      </c>
      <c r="O951" t="str">
        <f t="shared" si="44"/>
        <v>Light</v>
      </c>
      <c r="P951" t="str">
        <f>_xlfn.XLOOKUP(Table1[[#This Row],[Customer ID]],customers!$A$2:$A$1001,customers!$I$2:$I$1001,,0)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INDEX(products!$A$1:$G$49,MATCH(orders!$D952,products!$A$1:$A$49,0),MATCH(I$1,products!$A$1:$G$1,0))</f>
        <v>Rob</v>
      </c>
      <c r="J952" t="str">
        <f>INDEX(products!$A$1:$G$49,MATCH(orders!$D952,products!$A$1:$A$49,0),MATCH(J$1,products!$A$1:$G$1,0))</f>
        <v>L</v>
      </c>
      <c r="K952" s="6">
        <f>INDEX(products!$A$1:$G$49,MATCH(orders!$D952,products!$A$1:$A$49,0),MATCH(K$1,products!$A$1:$G$1,0))</f>
        <v>0.2</v>
      </c>
      <c r="L952" s="7">
        <f>INDEX(products!$A$1:$G$49,MATCH(orders!$D952,products!$A$1:$A$49,0),MATCH(L$1,products!$A$1:$G$1,0))</f>
        <v>3.5849999999999995</v>
      </c>
      <c r="M952" s="7">
        <f t="shared" si="42"/>
        <v>14.339999999999998</v>
      </c>
      <c r="N952" t="str">
        <f t="shared" si="43"/>
        <v>Robusta</v>
      </c>
      <c r="O952" t="str">
        <f t="shared" si="44"/>
        <v>Light</v>
      </c>
      <c r="P952" t="str">
        <f>_xlfn.XLOOKUP(Table1[[#This Row],[Customer ID]],customers!$A$2:$A$1001,customers!$I$2:$I$1001,,0)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INDEX(products!$A$1:$G$49,MATCH(orders!$D953,products!$A$1:$A$49,0),MATCH(I$1,products!$A$1:$G$1,0))</f>
        <v>Rob</v>
      </c>
      <c r="J953" t="str">
        <f>INDEX(products!$A$1:$G$49,MATCH(orders!$D953,products!$A$1:$A$49,0),MATCH(J$1,products!$A$1:$G$1,0))</f>
        <v>L</v>
      </c>
      <c r="K953" s="6">
        <f>INDEX(products!$A$1:$G$49,MATCH(orders!$D953,products!$A$1:$A$49,0),MATCH(K$1,products!$A$1:$G$1,0))</f>
        <v>0.2</v>
      </c>
      <c r="L953" s="7">
        <f>INDEX(products!$A$1:$G$49,MATCH(orders!$D953,products!$A$1:$A$49,0),MATCH(L$1,products!$A$1:$G$1,0))</f>
        <v>3.5849999999999995</v>
      </c>
      <c r="M953" s="7">
        <f t="shared" si="42"/>
        <v>21.509999999999998</v>
      </c>
      <c r="N953" t="str">
        <f t="shared" si="43"/>
        <v>Robusta</v>
      </c>
      <c r="O953" t="str">
        <f t="shared" si="44"/>
        <v>Light</v>
      </c>
      <c r="P953" t="str">
        <f>_xlfn.XLOOKUP(Table1[[#This Row],[Customer ID]],customers!$A$2:$A$1001,customers!$I$2:$I$1001,,0)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INDEX(products!$A$1:$G$49,MATCH(orders!$D954,products!$A$1:$A$49,0),MATCH(I$1,products!$A$1:$G$1,0))</f>
        <v>Ara</v>
      </c>
      <c r="J954" t="str">
        <f>INDEX(products!$A$1:$G$49,MATCH(orders!$D954,products!$A$1:$A$49,0),MATCH(J$1,products!$A$1:$G$1,0))</f>
        <v>M</v>
      </c>
      <c r="K954" s="6">
        <f>INDEX(products!$A$1:$G$49,MATCH(orders!$D954,products!$A$1:$A$49,0),MATCH(K$1,products!$A$1:$G$1,0))</f>
        <v>1</v>
      </c>
      <c r="L954" s="7">
        <f>INDEX(products!$A$1:$G$49,MATCH(orders!$D954,products!$A$1:$A$49,0),MATCH(L$1,products!$A$1:$G$1,0))</f>
        <v>11.25</v>
      </c>
      <c r="M954" s="7">
        <f t="shared" si="42"/>
        <v>22.5</v>
      </c>
      <c r="N954" t="str">
        <f t="shared" si="43"/>
        <v>Arabica</v>
      </c>
      <c r="O954" t="str">
        <f t="shared" si="44"/>
        <v>Medium</v>
      </c>
      <c r="P954" t="str">
        <f>_xlfn.XLOOKUP(Table1[[#This Row],[Customer ID]],customers!$A$2:$A$1001,customers!$I$2:$I$1001,,0)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INDEX(products!$A$1:$G$49,MATCH(orders!$D955,products!$A$1:$A$49,0),MATCH(I$1,products!$A$1:$G$1,0))</f>
        <v>Ara</v>
      </c>
      <c r="J955" t="str">
        <f>INDEX(products!$A$1:$G$49,MATCH(orders!$D955,products!$A$1:$A$49,0),MATCH(J$1,products!$A$1:$G$1,0))</f>
        <v>L</v>
      </c>
      <c r="K955" s="6">
        <f>INDEX(products!$A$1:$G$49,MATCH(orders!$D955,products!$A$1:$A$49,0),MATCH(K$1,products!$A$1:$G$1,0))</f>
        <v>0.2</v>
      </c>
      <c r="L955" s="7">
        <f>INDEX(products!$A$1:$G$49,MATCH(orders!$D955,products!$A$1:$A$49,0),MATCH(L$1,products!$A$1:$G$1,0))</f>
        <v>3.8849999999999998</v>
      </c>
      <c r="M955" s="7">
        <f t="shared" si="42"/>
        <v>3.8849999999999998</v>
      </c>
      <c r="N955" t="str">
        <f t="shared" si="43"/>
        <v>Arabica</v>
      </c>
      <c r="O955" t="str">
        <f t="shared" si="44"/>
        <v>Light</v>
      </c>
      <c r="P955" t="str">
        <f>_xlfn.XLOOKUP(Table1[[#This Row],[Customer ID]],customers!$A$2:$A$1001,customers!$I$2:$I$1001,,0)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INDEX(products!$A$1:$G$49,MATCH(orders!$D956,products!$A$1:$A$49,0),MATCH(I$1,products!$A$1:$G$1,0))</f>
        <v>Exc</v>
      </c>
      <c r="J956" t="str">
        <f>INDEX(products!$A$1:$G$49,MATCH(orders!$D956,products!$A$1:$A$49,0),MATCH(J$1,products!$A$1:$G$1,0))</f>
        <v>D</v>
      </c>
      <c r="K956" s="6">
        <f>INDEX(products!$A$1:$G$49,MATCH(orders!$D956,products!$A$1:$A$49,0),MATCH(K$1,products!$A$1:$G$1,0))</f>
        <v>2.5</v>
      </c>
      <c r="L956" s="7">
        <f>INDEX(products!$A$1:$G$49,MATCH(orders!$D956,products!$A$1:$A$49,0),MATCH(L$1,products!$A$1:$G$1,0))</f>
        <v>27.945</v>
      </c>
      <c r="M956" s="7">
        <f t="shared" si="42"/>
        <v>27.945</v>
      </c>
      <c r="N956" t="str">
        <f t="shared" si="43"/>
        <v>Excelsa</v>
      </c>
      <c r="O956" t="str">
        <f t="shared" si="44"/>
        <v>Dark</v>
      </c>
      <c r="P956" t="str">
        <f>_xlfn.XLOOKUP(Table1[[#This Row],[Customer ID]],customers!$A$2:$A$1001,customers!$I$2:$I$1001,,0)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INDEX(products!$A$1:$G$49,MATCH(orders!$D957,products!$A$1:$A$49,0),MATCH(I$1,products!$A$1:$G$1,0))</f>
        <v>Exc</v>
      </c>
      <c r="J957" t="str">
        <f>INDEX(products!$A$1:$G$49,MATCH(orders!$D957,products!$A$1:$A$49,0),MATCH(J$1,products!$A$1:$G$1,0))</f>
        <v>L</v>
      </c>
      <c r="K957" s="6">
        <f>INDEX(products!$A$1:$G$49,MATCH(orders!$D957,products!$A$1:$A$49,0),MATCH(K$1,products!$A$1:$G$1,0))</f>
        <v>2.5</v>
      </c>
      <c r="L957" s="7">
        <f>INDEX(products!$A$1:$G$49,MATCH(orders!$D957,products!$A$1:$A$49,0),MATCH(L$1,products!$A$1:$G$1,0))</f>
        <v>34.154999999999994</v>
      </c>
      <c r="M957" s="7">
        <f t="shared" si="42"/>
        <v>170.77499999999998</v>
      </c>
      <c r="N957" t="str">
        <f t="shared" si="43"/>
        <v>Excelsa</v>
      </c>
      <c r="O957" t="str">
        <f t="shared" si="44"/>
        <v>Light</v>
      </c>
      <c r="P957" t="str">
        <f>_xlfn.XLOOKUP(Table1[[#This Row],[Customer ID]],customers!$A$2:$A$1001,customers!$I$2:$I$1001,,0)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INDEX(products!$A$1:$G$49,MATCH(orders!$D958,products!$A$1:$A$49,0),MATCH(I$1,products!$A$1:$G$1,0))</f>
        <v>Rob</v>
      </c>
      <c r="J958" t="str">
        <f>INDEX(products!$A$1:$G$49,MATCH(orders!$D958,products!$A$1:$A$49,0),MATCH(J$1,products!$A$1:$G$1,0))</f>
        <v>L</v>
      </c>
      <c r="K958" s="6">
        <f>INDEX(products!$A$1:$G$49,MATCH(orders!$D958,products!$A$1:$A$49,0),MATCH(K$1,products!$A$1:$G$1,0))</f>
        <v>2.5</v>
      </c>
      <c r="L958" s="7">
        <f>INDEX(products!$A$1:$G$49,MATCH(orders!$D958,products!$A$1:$A$49,0),MATCH(L$1,products!$A$1:$G$1,0))</f>
        <v>27.484999999999996</v>
      </c>
      <c r="M958" s="7">
        <f t="shared" si="42"/>
        <v>54.969999999999992</v>
      </c>
      <c r="N958" t="str">
        <f t="shared" si="43"/>
        <v>Robusta</v>
      </c>
      <c r="O958" t="str">
        <f t="shared" si="44"/>
        <v>Light</v>
      </c>
      <c r="P958" t="str">
        <f>_xlfn.XLOOKUP(Table1[[#This Row],[Customer ID]],customers!$A$2:$A$1001,customers!$I$2:$I$1001,,0)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INDEX(products!$A$1:$G$49,MATCH(orders!$D959,products!$A$1:$A$49,0),MATCH(I$1,products!$A$1:$G$1,0))</f>
        <v>Exc</v>
      </c>
      <c r="J959" t="str">
        <f>INDEX(products!$A$1:$G$49,MATCH(orders!$D959,products!$A$1:$A$49,0),MATCH(J$1,products!$A$1:$G$1,0))</f>
        <v>L</v>
      </c>
      <c r="K959" s="6">
        <f>INDEX(products!$A$1:$G$49,MATCH(orders!$D959,products!$A$1:$A$49,0),MATCH(K$1,products!$A$1:$G$1,0))</f>
        <v>1</v>
      </c>
      <c r="L959" s="7">
        <f>INDEX(products!$A$1:$G$49,MATCH(orders!$D959,products!$A$1:$A$49,0),MATCH(L$1,products!$A$1:$G$1,0))</f>
        <v>14.85</v>
      </c>
      <c r="M959" s="7">
        <f t="shared" si="42"/>
        <v>14.85</v>
      </c>
      <c r="N959" t="str">
        <f t="shared" si="43"/>
        <v>Excelsa</v>
      </c>
      <c r="O959" t="str">
        <f t="shared" si="44"/>
        <v>Light</v>
      </c>
      <c r="P959" t="str">
        <f>_xlfn.XLOOKUP(Table1[[#This Row],[Customer ID]],customers!$A$2:$A$1001,customers!$I$2:$I$1001,,0)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INDEX(products!$A$1:$G$49,MATCH(orders!$D960,products!$A$1:$A$49,0),MATCH(I$1,products!$A$1:$G$1,0))</f>
        <v>Ara</v>
      </c>
      <c r="J960" t="str">
        <f>INDEX(products!$A$1:$G$49,MATCH(orders!$D960,products!$A$1:$A$49,0),MATCH(J$1,products!$A$1:$G$1,0))</f>
        <v>L</v>
      </c>
      <c r="K960" s="6">
        <f>INDEX(products!$A$1:$G$49,MATCH(orders!$D960,products!$A$1:$A$49,0),MATCH(K$1,products!$A$1:$G$1,0))</f>
        <v>0.2</v>
      </c>
      <c r="L960" s="7">
        <f>INDEX(products!$A$1:$G$49,MATCH(orders!$D960,products!$A$1:$A$49,0),MATCH(L$1,products!$A$1:$G$1,0))</f>
        <v>3.8849999999999998</v>
      </c>
      <c r="M960" s="7">
        <f t="shared" si="42"/>
        <v>7.77</v>
      </c>
      <c r="N960" t="str">
        <f t="shared" si="43"/>
        <v>Arabica</v>
      </c>
      <c r="O960" t="str">
        <f t="shared" si="44"/>
        <v>Light</v>
      </c>
      <c r="P960" t="str">
        <f>_xlfn.XLOOKUP(Table1[[#This Row],[Customer ID]],customers!$A$2:$A$1001,customers!$I$2:$I$1001,,0)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INDEX(products!$A$1:$G$49,MATCH(orders!$D961,products!$A$1:$A$49,0),MATCH(I$1,products!$A$1:$G$1,0))</f>
        <v>Lib</v>
      </c>
      <c r="J961" t="str">
        <f>INDEX(products!$A$1:$G$49,MATCH(orders!$D961,products!$A$1:$A$49,0),MATCH(J$1,products!$A$1:$G$1,0))</f>
        <v>L</v>
      </c>
      <c r="K961" s="6">
        <f>INDEX(products!$A$1:$G$49,MATCH(orders!$D961,products!$A$1:$A$49,0),MATCH(K$1,products!$A$1:$G$1,0))</f>
        <v>0.2</v>
      </c>
      <c r="L961" s="7">
        <f>INDEX(products!$A$1:$G$49,MATCH(orders!$D961,products!$A$1:$A$49,0),MATCH(L$1,products!$A$1:$G$1,0))</f>
        <v>4.7549999999999999</v>
      </c>
      <c r="M961" s="7">
        <f t="shared" si="42"/>
        <v>23.774999999999999</v>
      </c>
      <c r="N961" t="str">
        <f t="shared" si="43"/>
        <v>Liberica</v>
      </c>
      <c r="O961" t="str">
        <f t="shared" si="44"/>
        <v>Light</v>
      </c>
      <c r="P961" t="str">
        <f>_xlfn.XLOOKUP(Table1[[#This Row],[Customer ID]],customers!$A$2:$A$1001,customers!$I$2:$I$1001,,0)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INDEX(products!$A$1:$G$49,MATCH(orders!$D962,products!$A$1:$A$49,0),MATCH(I$1,products!$A$1:$G$1,0))</f>
        <v>Lib</v>
      </c>
      <c r="J962" t="str">
        <f>INDEX(products!$A$1:$G$49,MATCH(orders!$D962,products!$A$1:$A$49,0),MATCH(J$1,products!$A$1:$G$1,0))</f>
        <v>L</v>
      </c>
      <c r="K962" s="6">
        <f>INDEX(products!$A$1:$G$49,MATCH(orders!$D962,products!$A$1:$A$49,0),MATCH(K$1,products!$A$1:$G$1,0))</f>
        <v>1</v>
      </c>
      <c r="L962" s="7">
        <f>INDEX(products!$A$1:$G$49,MATCH(orders!$D962,products!$A$1:$A$49,0),MATCH(L$1,products!$A$1:$G$1,0))</f>
        <v>15.85</v>
      </c>
      <c r="M962" s="7">
        <f t="shared" si="42"/>
        <v>79.25</v>
      </c>
      <c r="N962" t="str">
        <f t="shared" si="43"/>
        <v>Liberica</v>
      </c>
      <c r="O962" t="str">
        <f t="shared" si="44"/>
        <v>Light</v>
      </c>
      <c r="P962" t="str">
        <f>_xlfn.XLOOKUP(Table1[[#This Row],[Customer ID]],customers!$A$2:$A$1001,customers!$I$2:$I$1001,,0)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INDEX(products!$A$1:$G$49,MATCH(orders!$D963,products!$A$1:$A$49,0),MATCH(I$1,products!$A$1:$G$1,0))</f>
        <v>Ara</v>
      </c>
      <c r="J963" t="str">
        <f>INDEX(products!$A$1:$G$49,MATCH(orders!$D963,products!$A$1:$A$49,0),MATCH(J$1,products!$A$1:$G$1,0))</f>
        <v>D</v>
      </c>
      <c r="K963" s="6">
        <f>INDEX(products!$A$1:$G$49,MATCH(orders!$D963,products!$A$1:$A$49,0),MATCH(K$1,products!$A$1:$G$1,0))</f>
        <v>2.5</v>
      </c>
      <c r="L963" s="7">
        <f>INDEX(products!$A$1:$G$49,MATCH(orders!$D963,products!$A$1:$A$49,0),MATCH(L$1,products!$A$1:$G$1,0))</f>
        <v>22.884999999999998</v>
      </c>
      <c r="M963" s="7">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_xlfn.XLOOKUP(Table1[[#This Row],[Customer ID]],customers!$A$2:$A$1001,customers!$I$2:$I$1001,,0)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INDEX(products!$A$1:$G$49,MATCH(orders!$D964,products!$A$1:$A$49,0),MATCH(I$1,products!$A$1:$G$1,0))</f>
        <v>Rob</v>
      </c>
      <c r="J964" t="str">
        <f>INDEX(products!$A$1:$G$49,MATCH(orders!$D964,products!$A$1:$A$49,0),MATCH(J$1,products!$A$1:$G$1,0))</f>
        <v>D</v>
      </c>
      <c r="K964" s="6">
        <f>INDEX(products!$A$1:$G$49,MATCH(orders!$D964,products!$A$1:$A$49,0),MATCH(K$1,products!$A$1:$G$1,0))</f>
        <v>1</v>
      </c>
      <c r="L964" s="7">
        <f>INDEX(products!$A$1:$G$49,MATCH(orders!$D964,products!$A$1:$A$49,0),MATCH(L$1,products!$A$1:$G$1,0))</f>
        <v>8.9499999999999993</v>
      </c>
      <c r="M964" s="7">
        <f t="shared" si="45"/>
        <v>8.9499999999999993</v>
      </c>
      <c r="N964" t="str">
        <f t="shared" si="46"/>
        <v>Robusta</v>
      </c>
      <c r="O964" t="str">
        <f t="shared" si="47"/>
        <v>Dark</v>
      </c>
      <c r="P964" t="str">
        <f>_xlfn.XLOOKUP(Table1[[#This Row],[Customer ID]],customers!$A$2:$A$1001,customers!$I$2:$I$1001,,0)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INDEX(products!$A$1:$G$49,MATCH(orders!$D965,products!$A$1:$A$49,0),MATCH(I$1,products!$A$1:$G$1,0))</f>
        <v>Rob</v>
      </c>
      <c r="J965" t="str">
        <f>INDEX(products!$A$1:$G$49,MATCH(orders!$D965,products!$A$1:$A$49,0),MATCH(J$1,products!$A$1:$G$1,0))</f>
        <v>M</v>
      </c>
      <c r="K965" s="6">
        <f>INDEX(products!$A$1:$G$49,MATCH(orders!$D965,products!$A$1:$A$49,0),MATCH(K$1,products!$A$1:$G$1,0))</f>
        <v>0.5</v>
      </c>
      <c r="L965" s="7">
        <f>INDEX(products!$A$1:$G$49,MATCH(orders!$D965,products!$A$1:$A$49,0),MATCH(L$1,products!$A$1:$G$1,0))</f>
        <v>5.97</v>
      </c>
      <c r="M965" s="7">
        <f t="shared" si="45"/>
        <v>23.88</v>
      </c>
      <c r="N965" t="str">
        <f t="shared" si="46"/>
        <v>Robusta</v>
      </c>
      <c r="O965" t="str">
        <f t="shared" si="47"/>
        <v>Medium</v>
      </c>
      <c r="P965" t="str">
        <f>_xlfn.XLOOKUP(Table1[[#This Row],[Customer ID]],customers!$A$2:$A$1001,customers!$I$2:$I$1001,,0)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INDEX(products!$A$1:$G$49,MATCH(orders!$D966,products!$A$1:$A$49,0),MATCH(I$1,products!$A$1:$G$1,0))</f>
        <v>Exc</v>
      </c>
      <c r="J966" t="str">
        <f>INDEX(products!$A$1:$G$49,MATCH(orders!$D966,products!$A$1:$A$49,0),MATCH(J$1,products!$A$1:$G$1,0))</f>
        <v>L</v>
      </c>
      <c r="K966" s="6">
        <f>INDEX(products!$A$1:$G$49,MATCH(orders!$D966,products!$A$1:$A$49,0),MATCH(K$1,products!$A$1:$G$1,0))</f>
        <v>0.2</v>
      </c>
      <c r="L966" s="7">
        <f>INDEX(products!$A$1:$G$49,MATCH(orders!$D966,products!$A$1:$A$49,0),MATCH(L$1,products!$A$1:$G$1,0))</f>
        <v>4.4550000000000001</v>
      </c>
      <c r="M966" s="7">
        <f t="shared" si="45"/>
        <v>22.274999999999999</v>
      </c>
      <c r="N966" t="str">
        <f t="shared" si="46"/>
        <v>Excelsa</v>
      </c>
      <c r="O966" t="str">
        <f t="shared" si="47"/>
        <v>Light</v>
      </c>
      <c r="P966" t="str">
        <f>_xlfn.XLOOKUP(Table1[[#This Row],[Customer ID]],customers!$A$2:$A$1001,customers!$I$2:$I$1001,,0)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INDEX(products!$A$1:$G$49,MATCH(orders!$D967,products!$A$1:$A$49,0),MATCH(I$1,products!$A$1:$G$1,0))</f>
        <v>Rob</v>
      </c>
      <c r="J967" t="str">
        <f>INDEX(products!$A$1:$G$49,MATCH(orders!$D967,products!$A$1:$A$49,0),MATCH(J$1,products!$A$1:$G$1,0))</f>
        <v>M</v>
      </c>
      <c r="K967" s="6">
        <f>INDEX(products!$A$1:$G$49,MATCH(orders!$D967,products!$A$1:$A$49,0),MATCH(K$1,products!$A$1:$G$1,0))</f>
        <v>1</v>
      </c>
      <c r="L967" s="7">
        <f>INDEX(products!$A$1:$G$49,MATCH(orders!$D967,products!$A$1:$A$49,0),MATCH(L$1,products!$A$1:$G$1,0))</f>
        <v>9.9499999999999993</v>
      </c>
      <c r="M967" s="7">
        <f t="shared" si="45"/>
        <v>29.849999999999998</v>
      </c>
      <c r="N967" t="str">
        <f t="shared" si="46"/>
        <v>Robusta</v>
      </c>
      <c r="O967" t="str">
        <f t="shared" si="47"/>
        <v>Medium</v>
      </c>
      <c r="P967" t="str">
        <f>_xlfn.XLOOKUP(Table1[[#This Row],[Customer ID]],customers!$A$2:$A$1001,customers!$I$2:$I$1001,,0)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INDEX(products!$A$1:$G$49,MATCH(orders!$D968,products!$A$1:$A$49,0),MATCH(I$1,products!$A$1:$G$1,0))</f>
        <v>Exc</v>
      </c>
      <c r="J968" t="str">
        <f>INDEX(products!$A$1:$G$49,MATCH(orders!$D968,products!$A$1:$A$49,0),MATCH(J$1,products!$A$1:$G$1,0))</f>
        <v>L</v>
      </c>
      <c r="K968" s="6">
        <f>INDEX(products!$A$1:$G$49,MATCH(orders!$D968,products!$A$1:$A$49,0),MATCH(K$1,products!$A$1:$G$1,0))</f>
        <v>0.5</v>
      </c>
      <c r="L968" s="7">
        <f>INDEX(products!$A$1:$G$49,MATCH(orders!$D968,products!$A$1:$A$49,0),MATCH(L$1,products!$A$1:$G$1,0))</f>
        <v>8.91</v>
      </c>
      <c r="M968" s="7">
        <f t="shared" si="45"/>
        <v>53.46</v>
      </c>
      <c r="N968" t="str">
        <f t="shared" si="46"/>
        <v>Excelsa</v>
      </c>
      <c r="O968" t="str">
        <f t="shared" si="47"/>
        <v>Light</v>
      </c>
      <c r="P968" t="str">
        <f>_xlfn.XLOOKUP(Table1[[#This Row],[Customer ID]],customers!$A$2:$A$1001,customers!$I$2:$I$1001,,0)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INDEX(products!$A$1:$G$49,MATCH(orders!$D969,products!$A$1:$A$49,0),MATCH(I$1,products!$A$1:$G$1,0))</f>
        <v>Rob</v>
      </c>
      <c r="J969" t="str">
        <f>INDEX(products!$A$1:$G$49,MATCH(orders!$D969,products!$A$1:$A$49,0),MATCH(J$1,products!$A$1:$G$1,0))</f>
        <v>D</v>
      </c>
      <c r="K969" s="6">
        <f>INDEX(products!$A$1:$G$49,MATCH(orders!$D969,products!$A$1:$A$49,0),MATCH(K$1,products!$A$1:$G$1,0))</f>
        <v>0.2</v>
      </c>
      <c r="L969" s="7">
        <f>INDEX(products!$A$1:$G$49,MATCH(orders!$D969,products!$A$1:$A$49,0),MATCH(L$1,products!$A$1:$G$1,0))</f>
        <v>2.6849999999999996</v>
      </c>
      <c r="M969" s="7">
        <f t="shared" si="45"/>
        <v>2.6849999999999996</v>
      </c>
      <c r="N969" t="str">
        <f t="shared" si="46"/>
        <v>Robusta</v>
      </c>
      <c r="O969" t="str">
        <f t="shared" si="47"/>
        <v>Dark</v>
      </c>
      <c r="P969" t="str">
        <f>_xlfn.XLOOKUP(Table1[[#This Row],[Customer ID]],customers!$A$2:$A$1001,customers!$I$2:$I$1001,,0)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INDEX(products!$A$1:$G$49,MATCH(orders!$D970,products!$A$1:$A$49,0),MATCH(I$1,products!$A$1:$G$1,0))</f>
        <v>Rob</v>
      </c>
      <c r="J970" t="str">
        <f>INDEX(products!$A$1:$G$49,MATCH(orders!$D970,products!$A$1:$A$49,0),MATCH(J$1,products!$A$1:$G$1,0))</f>
        <v>M</v>
      </c>
      <c r="K970" s="6">
        <f>INDEX(products!$A$1:$G$49,MATCH(orders!$D970,products!$A$1:$A$49,0),MATCH(K$1,products!$A$1:$G$1,0))</f>
        <v>0.2</v>
      </c>
      <c r="L970" s="7">
        <f>INDEX(products!$A$1:$G$49,MATCH(orders!$D970,products!$A$1:$A$49,0),MATCH(L$1,products!$A$1:$G$1,0))</f>
        <v>2.9849999999999999</v>
      </c>
      <c r="M970" s="7">
        <f t="shared" si="45"/>
        <v>5.97</v>
      </c>
      <c r="N970" t="str">
        <f t="shared" si="46"/>
        <v>Robusta</v>
      </c>
      <c r="O970" t="str">
        <f t="shared" si="47"/>
        <v>Medium</v>
      </c>
      <c r="P970" t="str">
        <f>_xlfn.XLOOKUP(Table1[[#This Row],[Customer ID]],customers!$A$2:$A$1001,customers!$I$2:$I$1001,,0)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INDEX(products!$A$1:$G$49,MATCH(orders!$D971,products!$A$1:$A$49,0),MATCH(I$1,products!$A$1:$G$1,0))</f>
        <v>Lib</v>
      </c>
      <c r="J971" t="str">
        <f>INDEX(products!$A$1:$G$49,MATCH(orders!$D971,products!$A$1:$A$49,0),MATCH(J$1,products!$A$1:$G$1,0))</f>
        <v>D</v>
      </c>
      <c r="K971" s="6">
        <f>INDEX(products!$A$1:$G$49,MATCH(orders!$D971,products!$A$1:$A$49,0),MATCH(K$1,products!$A$1:$G$1,0))</f>
        <v>1</v>
      </c>
      <c r="L971" s="7">
        <f>INDEX(products!$A$1:$G$49,MATCH(orders!$D971,products!$A$1:$A$49,0),MATCH(L$1,products!$A$1:$G$1,0))</f>
        <v>12.95</v>
      </c>
      <c r="M971" s="7">
        <f t="shared" si="45"/>
        <v>12.95</v>
      </c>
      <c r="N971" t="str">
        <f t="shared" si="46"/>
        <v>Liberica</v>
      </c>
      <c r="O971" t="str">
        <f t="shared" si="47"/>
        <v>Dark</v>
      </c>
      <c r="P971" t="str">
        <f>_xlfn.XLOOKUP(Table1[[#This Row],[Customer ID]],customers!$A$2:$A$1001,customers!$I$2:$I$1001,,0)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INDEX(products!$A$1:$G$49,MATCH(orders!$D972,products!$A$1:$A$49,0),MATCH(I$1,products!$A$1:$G$1,0))</f>
        <v>Exc</v>
      </c>
      <c r="J972" t="str">
        <f>INDEX(products!$A$1:$G$49,MATCH(orders!$D972,products!$A$1:$A$49,0),MATCH(J$1,products!$A$1:$G$1,0))</f>
        <v>M</v>
      </c>
      <c r="K972" s="6">
        <f>INDEX(products!$A$1:$G$49,MATCH(orders!$D972,products!$A$1:$A$49,0),MATCH(K$1,products!$A$1:$G$1,0))</f>
        <v>0.5</v>
      </c>
      <c r="L972" s="7">
        <f>INDEX(products!$A$1:$G$49,MATCH(orders!$D972,products!$A$1:$A$49,0),MATCH(L$1,products!$A$1:$G$1,0))</f>
        <v>8.25</v>
      </c>
      <c r="M972" s="7">
        <f t="shared" si="45"/>
        <v>8.25</v>
      </c>
      <c r="N972" t="str">
        <f t="shared" si="46"/>
        <v>Excelsa</v>
      </c>
      <c r="O972" t="str">
        <f t="shared" si="47"/>
        <v>Medium</v>
      </c>
      <c r="P972" t="str">
        <f>_xlfn.XLOOKUP(Table1[[#This Row],[Customer ID]],customers!$A$2:$A$1001,customers!$I$2:$I$1001,,0)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INDEX(products!$A$1:$G$49,MATCH(orders!$D973,products!$A$1:$A$49,0),MATCH(I$1,products!$A$1:$G$1,0))</f>
        <v>Ara</v>
      </c>
      <c r="J973" t="str">
        <f>INDEX(products!$A$1:$G$49,MATCH(orders!$D973,products!$A$1:$A$49,0),MATCH(J$1,products!$A$1:$G$1,0))</f>
        <v>L</v>
      </c>
      <c r="K973" s="6">
        <f>INDEX(products!$A$1:$G$49,MATCH(orders!$D973,products!$A$1:$A$49,0),MATCH(K$1,products!$A$1:$G$1,0))</f>
        <v>2.5</v>
      </c>
      <c r="L973" s="7">
        <f>INDEX(products!$A$1:$G$49,MATCH(orders!$D973,products!$A$1:$A$49,0),MATCH(L$1,products!$A$1:$G$1,0))</f>
        <v>29.784999999999997</v>
      </c>
      <c r="M973" s="7">
        <f t="shared" si="45"/>
        <v>148.92499999999998</v>
      </c>
      <c r="N973" t="str">
        <f t="shared" si="46"/>
        <v>Arabica</v>
      </c>
      <c r="O973" t="str">
        <f t="shared" si="47"/>
        <v>Light</v>
      </c>
      <c r="P973" t="str">
        <f>_xlfn.XLOOKUP(Table1[[#This Row],[Customer ID]],customers!$A$2:$A$1001,customers!$I$2:$I$1001,,0)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INDEX(products!$A$1:$G$49,MATCH(orders!$D974,products!$A$1:$A$49,0),MATCH(I$1,products!$A$1:$G$1,0))</f>
        <v>Ara</v>
      </c>
      <c r="J974" t="str">
        <f>INDEX(products!$A$1:$G$49,MATCH(orders!$D974,products!$A$1:$A$49,0),MATCH(J$1,products!$A$1:$G$1,0))</f>
        <v>L</v>
      </c>
      <c r="K974" s="6">
        <f>INDEX(products!$A$1:$G$49,MATCH(orders!$D974,products!$A$1:$A$49,0),MATCH(K$1,products!$A$1:$G$1,0))</f>
        <v>2.5</v>
      </c>
      <c r="L974" s="7">
        <f>INDEX(products!$A$1:$G$49,MATCH(orders!$D974,products!$A$1:$A$49,0),MATCH(L$1,products!$A$1:$G$1,0))</f>
        <v>29.784999999999997</v>
      </c>
      <c r="M974" s="7">
        <f t="shared" si="45"/>
        <v>89.35499999999999</v>
      </c>
      <c r="N974" t="str">
        <f t="shared" si="46"/>
        <v>Arabica</v>
      </c>
      <c r="O974" t="str">
        <f t="shared" si="47"/>
        <v>Light</v>
      </c>
      <c r="P974" t="str">
        <f>_xlfn.XLOOKUP(Table1[[#This Row],[Customer ID]],customers!$A$2:$A$1001,customers!$I$2:$I$1001,,0)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INDEX(products!$A$1:$G$49,MATCH(orders!$D975,products!$A$1:$A$49,0),MATCH(I$1,products!$A$1:$G$1,0))</f>
        <v>Lib</v>
      </c>
      <c r="J975" t="str">
        <f>INDEX(products!$A$1:$G$49,MATCH(orders!$D975,products!$A$1:$A$49,0),MATCH(J$1,products!$A$1:$G$1,0))</f>
        <v>M</v>
      </c>
      <c r="K975" s="6">
        <f>INDEX(products!$A$1:$G$49,MATCH(orders!$D975,products!$A$1:$A$49,0),MATCH(K$1,products!$A$1:$G$1,0))</f>
        <v>1</v>
      </c>
      <c r="L975" s="7">
        <f>INDEX(products!$A$1:$G$49,MATCH(orders!$D975,products!$A$1:$A$49,0),MATCH(L$1,products!$A$1:$G$1,0))</f>
        <v>14.55</v>
      </c>
      <c r="M975" s="7">
        <f t="shared" si="45"/>
        <v>87.300000000000011</v>
      </c>
      <c r="N975" t="str">
        <f t="shared" si="46"/>
        <v>Liberica</v>
      </c>
      <c r="O975" t="str">
        <f t="shared" si="47"/>
        <v>Medium</v>
      </c>
      <c r="P975" t="str">
        <f>_xlfn.XLOOKUP(Table1[[#This Row],[Customer ID]],customers!$A$2:$A$1001,customers!$I$2:$I$1001,,0)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INDEX(products!$A$1:$G$49,MATCH(orders!$D976,products!$A$1:$A$49,0),MATCH(I$1,products!$A$1:$G$1,0))</f>
        <v>Rob</v>
      </c>
      <c r="J976" t="str">
        <f>INDEX(products!$A$1:$G$49,MATCH(orders!$D976,products!$A$1:$A$49,0),MATCH(J$1,products!$A$1:$G$1,0))</f>
        <v>D</v>
      </c>
      <c r="K976" s="6">
        <f>INDEX(products!$A$1:$G$49,MATCH(orders!$D976,products!$A$1:$A$49,0),MATCH(K$1,products!$A$1:$G$1,0))</f>
        <v>0.5</v>
      </c>
      <c r="L976" s="7">
        <f>INDEX(products!$A$1:$G$49,MATCH(orders!$D976,products!$A$1:$A$49,0),MATCH(L$1,products!$A$1:$G$1,0))</f>
        <v>5.3699999999999992</v>
      </c>
      <c r="M976" s="7">
        <f t="shared" si="45"/>
        <v>5.3699999999999992</v>
      </c>
      <c r="N976" t="str">
        <f t="shared" si="46"/>
        <v>Robusta</v>
      </c>
      <c r="O976" t="str">
        <f t="shared" si="47"/>
        <v>Dark</v>
      </c>
      <c r="P976" t="str">
        <f>_xlfn.XLOOKUP(Table1[[#This Row],[Customer ID]],customers!$A$2:$A$1001,customers!$I$2:$I$1001,,0)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INDEX(products!$A$1:$G$49,MATCH(orders!$D977,products!$A$1:$A$49,0),MATCH(I$1,products!$A$1:$G$1,0))</f>
        <v>Ara</v>
      </c>
      <c r="J977" t="str">
        <f>INDEX(products!$A$1:$G$49,MATCH(orders!$D977,products!$A$1:$A$49,0),MATCH(J$1,products!$A$1:$G$1,0))</f>
        <v>D</v>
      </c>
      <c r="K977" s="6">
        <f>INDEX(products!$A$1:$G$49,MATCH(orders!$D977,products!$A$1:$A$49,0),MATCH(K$1,products!$A$1:$G$1,0))</f>
        <v>0.2</v>
      </c>
      <c r="L977" s="7">
        <f>INDEX(products!$A$1:$G$49,MATCH(orders!$D977,products!$A$1:$A$49,0),MATCH(L$1,products!$A$1:$G$1,0))</f>
        <v>2.9849999999999999</v>
      </c>
      <c r="M977" s="7">
        <f t="shared" si="45"/>
        <v>8.9550000000000001</v>
      </c>
      <c r="N977" t="str">
        <f t="shared" si="46"/>
        <v>Arabica</v>
      </c>
      <c r="O977" t="str">
        <f t="shared" si="47"/>
        <v>Dark</v>
      </c>
      <c r="P977" t="str">
        <f>_xlfn.XLOOKUP(Table1[[#This Row],[Customer ID]],customers!$A$2:$A$1001,customers!$I$2:$I$1001,,0)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INDEX(products!$A$1:$G$49,MATCH(orders!$D978,products!$A$1:$A$49,0),MATCH(I$1,products!$A$1:$G$1,0))</f>
        <v>Rob</v>
      </c>
      <c r="J978" t="str">
        <f>INDEX(products!$A$1:$G$49,MATCH(orders!$D978,products!$A$1:$A$49,0),MATCH(J$1,products!$A$1:$G$1,0))</f>
        <v>L</v>
      </c>
      <c r="K978" s="6">
        <f>INDEX(products!$A$1:$G$49,MATCH(orders!$D978,products!$A$1:$A$49,0),MATCH(K$1,products!$A$1:$G$1,0))</f>
        <v>2.5</v>
      </c>
      <c r="L978" s="7">
        <f>INDEX(products!$A$1:$G$49,MATCH(orders!$D978,products!$A$1:$A$49,0),MATCH(L$1,products!$A$1:$G$1,0))</f>
        <v>27.484999999999996</v>
      </c>
      <c r="M978" s="7">
        <f t="shared" si="45"/>
        <v>137.42499999999998</v>
      </c>
      <c r="N978" t="str">
        <f t="shared" si="46"/>
        <v>Robusta</v>
      </c>
      <c r="O978" t="str">
        <f t="shared" si="47"/>
        <v>Light</v>
      </c>
      <c r="P978" t="str">
        <f>_xlfn.XLOOKUP(Table1[[#This Row],[Customer ID]],customers!$A$2:$A$1001,customers!$I$2:$I$1001,,0)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INDEX(products!$A$1:$G$49,MATCH(orders!$D979,products!$A$1:$A$49,0),MATCH(I$1,products!$A$1:$G$1,0))</f>
        <v>Rob</v>
      </c>
      <c r="J979" t="str">
        <f>INDEX(products!$A$1:$G$49,MATCH(orders!$D979,products!$A$1:$A$49,0),MATCH(J$1,products!$A$1:$G$1,0))</f>
        <v>L</v>
      </c>
      <c r="K979" s="6">
        <f>INDEX(products!$A$1:$G$49,MATCH(orders!$D979,products!$A$1:$A$49,0),MATCH(K$1,products!$A$1:$G$1,0))</f>
        <v>1</v>
      </c>
      <c r="L979" s="7">
        <f>INDEX(products!$A$1:$G$49,MATCH(orders!$D979,products!$A$1:$A$49,0),MATCH(L$1,products!$A$1:$G$1,0))</f>
        <v>11.95</v>
      </c>
      <c r="M979" s="7">
        <f t="shared" si="45"/>
        <v>59.75</v>
      </c>
      <c r="N979" t="str">
        <f t="shared" si="46"/>
        <v>Robusta</v>
      </c>
      <c r="O979" t="str">
        <f t="shared" si="47"/>
        <v>Light</v>
      </c>
      <c r="P979" t="str">
        <f>_xlfn.XLOOKUP(Table1[[#This Row],[Customer ID]],customers!$A$2:$A$1001,customers!$I$2:$I$1001,,0)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INDEX(products!$A$1:$G$49,MATCH(orders!$D980,products!$A$1:$A$49,0),MATCH(I$1,products!$A$1:$G$1,0))</f>
        <v>Ara</v>
      </c>
      <c r="J980" t="str">
        <f>INDEX(products!$A$1:$G$49,MATCH(orders!$D980,products!$A$1:$A$49,0),MATCH(J$1,products!$A$1:$G$1,0))</f>
        <v>L</v>
      </c>
      <c r="K980" s="6">
        <f>INDEX(products!$A$1:$G$49,MATCH(orders!$D980,products!$A$1:$A$49,0),MATCH(K$1,products!$A$1:$G$1,0))</f>
        <v>0.5</v>
      </c>
      <c r="L980" s="7">
        <f>INDEX(products!$A$1:$G$49,MATCH(orders!$D980,products!$A$1:$A$49,0),MATCH(L$1,products!$A$1:$G$1,0))</f>
        <v>7.77</v>
      </c>
      <c r="M980" s="7">
        <f t="shared" si="45"/>
        <v>23.31</v>
      </c>
      <c r="N980" t="str">
        <f t="shared" si="46"/>
        <v>Arabica</v>
      </c>
      <c r="O980" t="str">
        <f t="shared" si="47"/>
        <v>Light</v>
      </c>
      <c r="P980" t="str">
        <f>_xlfn.XLOOKUP(Table1[[#This Row],[Customer ID]],customers!$A$2:$A$1001,customers!$I$2:$I$1001,,0)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INDEX(products!$A$1:$G$49,MATCH(orders!$D981,products!$A$1:$A$49,0),MATCH(I$1,products!$A$1:$G$1,0))</f>
        <v>Rob</v>
      </c>
      <c r="J981" t="str">
        <f>INDEX(products!$A$1:$G$49,MATCH(orders!$D981,products!$A$1:$A$49,0),MATCH(J$1,products!$A$1:$G$1,0))</f>
        <v>D</v>
      </c>
      <c r="K981" s="6">
        <f>INDEX(products!$A$1:$G$49,MATCH(orders!$D981,products!$A$1:$A$49,0),MATCH(K$1,products!$A$1:$G$1,0))</f>
        <v>0.5</v>
      </c>
      <c r="L981" s="7">
        <f>INDEX(products!$A$1:$G$49,MATCH(orders!$D981,products!$A$1:$A$49,0),MATCH(L$1,products!$A$1:$G$1,0))</f>
        <v>5.3699999999999992</v>
      </c>
      <c r="M981" s="7">
        <f t="shared" si="45"/>
        <v>10.739999999999998</v>
      </c>
      <c r="N981" t="str">
        <f t="shared" si="46"/>
        <v>Robusta</v>
      </c>
      <c r="O981" t="str">
        <f t="shared" si="47"/>
        <v>Dark</v>
      </c>
      <c r="P981" t="str">
        <f>_xlfn.XLOOKUP(Table1[[#This Row],[Customer ID]],customers!$A$2:$A$1001,customers!$I$2:$I$1001,,0)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INDEX(products!$A$1:$G$49,MATCH(orders!$D982,products!$A$1:$A$49,0),MATCH(I$1,products!$A$1:$G$1,0))</f>
        <v>Exc</v>
      </c>
      <c r="J982" t="str">
        <f>INDEX(products!$A$1:$G$49,MATCH(orders!$D982,products!$A$1:$A$49,0),MATCH(J$1,products!$A$1:$G$1,0))</f>
        <v>D</v>
      </c>
      <c r="K982" s="6">
        <f>INDEX(products!$A$1:$G$49,MATCH(orders!$D982,products!$A$1:$A$49,0),MATCH(K$1,products!$A$1:$G$1,0))</f>
        <v>2.5</v>
      </c>
      <c r="L982" s="7">
        <f>INDEX(products!$A$1:$G$49,MATCH(orders!$D982,products!$A$1:$A$49,0),MATCH(L$1,products!$A$1:$G$1,0))</f>
        <v>27.945</v>
      </c>
      <c r="M982" s="7">
        <f t="shared" si="45"/>
        <v>167.67000000000002</v>
      </c>
      <c r="N982" t="str">
        <f t="shared" si="46"/>
        <v>Excelsa</v>
      </c>
      <c r="O982" t="str">
        <f t="shared" si="47"/>
        <v>Dark</v>
      </c>
      <c r="P982" t="str">
        <f>_xlfn.XLOOKUP(Table1[[#This Row],[Customer ID]],customers!$A$2:$A$1001,customers!$I$2:$I$1001,,0)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INDEX(products!$A$1:$G$49,MATCH(orders!$D983,products!$A$1:$A$49,0),MATCH(I$1,products!$A$1:$G$1,0))</f>
        <v>Exc</v>
      </c>
      <c r="J983" t="str">
        <f>INDEX(products!$A$1:$G$49,MATCH(orders!$D983,products!$A$1:$A$49,0),MATCH(J$1,products!$A$1:$G$1,0))</f>
        <v>D</v>
      </c>
      <c r="K983" s="6">
        <f>INDEX(products!$A$1:$G$49,MATCH(orders!$D983,products!$A$1:$A$49,0),MATCH(K$1,products!$A$1:$G$1,0))</f>
        <v>0.2</v>
      </c>
      <c r="L983" s="7">
        <f>INDEX(products!$A$1:$G$49,MATCH(orders!$D983,products!$A$1:$A$49,0),MATCH(L$1,products!$A$1:$G$1,0))</f>
        <v>3.645</v>
      </c>
      <c r="M983" s="7">
        <f t="shared" si="45"/>
        <v>21.87</v>
      </c>
      <c r="N983" t="str">
        <f t="shared" si="46"/>
        <v>Excelsa</v>
      </c>
      <c r="O983" t="str">
        <f t="shared" si="47"/>
        <v>Dark</v>
      </c>
      <c r="P983" t="str">
        <f>_xlfn.XLOOKUP(Table1[[#This Row],[Customer ID]],customers!$A$2:$A$1001,customers!$I$2:$I$1001,,0)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INDEX(products!$A$1:$G$49,MATCH(orders!$D984,products!$A$1:$A$49,0),MATCH(I$1,products!$A$1:$G$1,0))</f>
        <v>Rob</v>
      </c>
      <c r="J984" t="str">
        <f>INDEX(products!$A$1:$G$49,MATCH(orders!$D984,products!$A$1:$A$49,0),MATCH(J$1,products!$A$1:$G$1,0))</f>
        <v>L</v>
      </c>
      <c r="K984" s="6">
        <f>INDEX(products!$A$1:$G$49,MATCH(orders!$D984,products!$A$1:$A$49,0),MATCH(K$1,products!$A$1:$G$1,0))</f>
        <v>1</v>
      </c>
      <c r="L984" s="7">
        <f>INDEX(products!$A$1:$G$49,MATCH(orders!$D984,products!$A$1:$A$49,0),MATCH(L$1,products!$A$1:$G$1,0))</f>
        <v>11.95</v>
      </c>
      <c r="M984" s="7">
        <f t="shared" si="45"/>
        <v>23.9</v>
      </c>
      <c r="N984" t="str">
        <f t="shared" si="46"/>
        <v>Robusta</v>
      </c>
      <c r="O984" t="str">
        <f t="shared" si="47"/>
        <v>Light</v>
      </c>
      <c r="P984" t="str">
        <f>_xlfn.XLOOKUP(Table1[[#This Row],[Customer ID]],customers!$A$2:$A$1001,customers!$I$2:$I$1001,,0)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INDEX(products!$A$1:$G$49,MATCH(orders!$D985,products!$A$1:$A$49,0),MATCH(I$1,products!$A$1:$G$1,0))</f>
        <v>Ara</v>
      </c>
      <c r="J985" t="str">
        <f>INDEX(products!$A$1:$G$49,MATCH(orders!$D985,products!$A$1:$A$49,0),MATCH(J$1,products!$A$1:$G$1,0))</f>
        <v>M</v>
      </c>
      <c r="K985" s="6">
        <f>INDEX(products!$A$1:$G$49,MATCH(orders!$D985,products!$A$1:$A$49,0),MATCH(K$1,products!$A$1:$G$1,0))</f>
        <v>0.2</v>
      </c>
      <c r="L985" s="7">
        <f>INDEX(products!$A$1:$G$49,MATCH(orders!$D985,products!$A$1:$A$49,0),MATCH(L$1,products!$A$1:$G$1,0))</f>
        <v>3.375</v>
      </c>
      <c r="M985" s="7">
        <f t="shared" si="45"/>
        <v>6.75</v>
      </c>
      <c r="N985" t="str">
        <f t="shared" si="46"/>
        <v>Arabica</v>
      </c>
      <c r="O985" t="str">
        <f t="shared" si="47"/>
        <v>Medium</v>
      </c>
      <c r="P985" t="str">
        <f>_xlfn.XLOOKUP(Table1[[#This Row],[Customer ID]],customers!$A$2:$A$1001,customers!$I$2:$I$1001,,0)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INDEX(products!$A$1:$G$49,MATCH(orders!$D986,products!$A$1:$A$49,0),MATCH(I$1,products!$A$1:$G$1,0))</f>
        <v>Exc</v>
      </c>
      <c r="J986" t="str">
        <f>INDEX(products!$A$1:$G$49,MATCH(orders!$D986,products!$A$1:$A$49,0),MATCH(J$1,products!$A$1:$G$1,0))</f>
        <v>M</v>
      </c>
      <c r="K986" s="6">
        <f>INDEX(products!$A$1:$G$49,MATCH(orders!$D986,products!$A$1:$A$49,0),MATCH(K$1,products!$A$1:$G$1,0))</f>
        <v>2.5</v>
      </c>
      <c r="L986" s="7">
        <f>INDEX(products!$A$1:$G$49,MATCH(orders!$D986,products!$A$1:$A$49,0),MATCH(L$1,products!$A$1:$G$1,0))</f>
        <v>31.624999999999996</v>
      </c>
      <c r="M986" s="7">
        <f t="shared" si="45"/>
        <v>31.624999999999996</v>
      </c>
      <c r="N986" t="str">
        <f t="shared" si="46"/>
        <v>Excelsa</v>
      </c>
      <c r="O986" t="str">
        <f t="shared" si="47"/>
        <v>Medium</v>
      </c>
      <c r="P986" t="str">
        <f>_xlfn.XLOOKUP(Table1[[#This Row],[Customer ID]],customers!$A$2:$A$1001,customers!$I$2:$I$1001,,0)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INDEX(products!$A$1:$G$49,MATCH(orders!$D987,products!$A$1:$A$49,0),MATCH(I$1,products!$A$1:$G$1,0))</f>
        <v>Rob</v>
      </c>
      <c r="J987" t="str">
        <f>INDEX(products!$A$1:$G$49,MATCH(orders!$D987,products!$A$1:$A$49,0),MATCH(J$1,products!$A$1:$G$1,0))</f>
        <v>L</v>
      </c>
      <c r="K987" s="6">
        <f>INDEX(products!$A$1:$G$49,MATCH(orders!$D987,products!$A$1:$A$49,0),MATCH(K$1,products!$A$1:$G$1,0))</f>
        <v>1</v>
      </c>
      <c r="L987" s="7">
        <f>INDEX(products!$A$1:$G$49,MATCH(orders!$D987,products!$A$1:$A$49,0),MATCH(L$1,products!$A$1:$G$1,0))</f>
        <v>11.95</v>
      </c>
      <c r="M987" s="7">
        <f t="shared" si="45"/>
        <v>47.8</v>
      </c>
      <c r="N987" t="str">
        <f t="shared" si="46"/>
        <v>Robusta</v>
      </c>
      <c r="O987" t="str">
        <f t="shared" si="47"/>
        <v>Light</v>
      </c>
      <c r="P987" t="str">
        <f>_xlfn.XLOOKUP(Table1[[#This Row],[Customer ID]],customers!$A$2:$A$1001,customers!$I$2:$I$1001,,0)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INDEX(products!$A$1:$G$49,MATCH(orders!$D988,products!$A$1:$A$49,0),MATCH(I$1,products!$A$1:$G$1,0))</f>
        <v>Lib</v>
      </c>
      <c r="J988" t="str">
        <f>INDEX(products!$A$1:$G$49,MATCH(orders!$D988,products!$A$1:$A$49,0),MATCH(J$1,products!$A$1:$G$1,0))</f>
        <v>M</v>
      </c>
      <c r="K988" s="6">
        <f>INDEX(products!$A$1:$G$49,MATCH(orders!$D988,products!$A$1:$A$49,0),MATCH(K$1,products!$A$1:$G$1,0))</f>
        <v>2.5</v>
      </c>
      <c r="L988" s="7">
        <f>INDEX(products!$A$1:$G$49,MATCH(orders!$D988,products!$A$1:$A$49,0),MATCH(L$1,products!$A$1:$G$1,0))</f>
        <v>33.464999999999996</v>
      </c>
      <c r="M988" s="7">
        <f t="shared" si="45"/>
        <v>33.464999999999996</v>
      </c>
      <c r="N988" t="str">
        <f t="shared" si="46"/>
        <v>Liberica</v>
      </c>
      <c r="O988" t="str">
        <f t="shared" si="47"/>
        <v>Medium</v>
      </c>
      <c r="P988" t="str">
        <f>_xlfn.XLOOKUP(Table1[[#This Row],[Customer ID]],customers!$A$2:$A$1001,customers!$I$2:$I$1001,,0)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INDEX(products!$A$1:$G$49,MATCH(orders!$D989,products!$A$1:$A$49,0),MATCH(I$1,products!$A$1:$G$1,0))</f>
        <v>Ara</v>
      </c>
      <c r="J989" t="str">
        <f>INDEX(products!$A$1:$G$49,MATCH(orders!$D989,products!$A$1:$A$49,0),MATCH(J$1,products!$A$1:$G$1,0))</f>
        <v>D</v>
      </c>
      <c r="K989" s="6">
        <f>INDEX(products!$A$1:$G$49,MATCH(orders!$D989,products!$A$1:$A$49,0),MATCH(K$1,products!$A$1:$G$1,0))</f>
        <v>0.5</v>
      </c>
      <c r="L989" s="7">
        <f>INDEX(products!$A$1:$G$49,MATCH(orders!$D989,products!$A$1:$A$49,0),MATCH(L$1,products!$A$1:$G$1,0))</f>
        <v>5.97</v>
      </c>
      <c r="M989" s="7">
        <f t="shared" si="45"/>
        <v>29.849999999999998</v>
      </c>
      <c r="N989" t="str">
        <f t="shared" si="46"/>
        <v>Arabica</v>
      </c>
      <c r="O989" t="str">
        <f t="shared" si="47"/>
        <v>Dark</v>
      </c>
      <c r="P989" t="str">
        <f>_xlfn.XLOOKUP(Table1[[#This Row],[Customer ID]],customers!$A$2:$A$1001,customers!$I$2:$I$1001,,0)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INDEX(products!$A$1:$G$49,MATCH(orders!$D990,products!$A$1:$A$49,0),MATCH(I$1,products!$A$1:$G$1,0))</f>
        <v>Rob</v>
      </c>
      <c r="J990" t="str">
        <f>INDEX(products!$A$1:$G$49,MATCH(orders!$D990,products!$A$1:$A$49,0),MATCH(J$1,products!$A$1:$G$1,0))</f>
        <v>M</v>
      </c>
      <c r="K990" s="6">
        <f>INDEX(products!$A$1:$G$49,MATCH(orders!$D990,products!$A$1:$A$49,0),MATCH(K$1,products!$A$1:$G$1,0))</f>
        <v>1</v>
      </c>
      <c r="L990" s="7">
        <f>INDEX(products!$A$1:$G$49,MATCH(orders!$D990,products!$A$1:$A$49,0),MATCH(L$1,products!$A$1:$G$1,0))</f>
        <v>9.9499999999999993</v>
      </c>
      <c r="M990" s="7">
        <f t="shared" si="45"/>
        <v>29.849999999999998</v>
      </c>
      <c r="N990" t="str">
        <f t="shared" si="46"/>
        <v>Robusta</v>
      </c>
      <c r="O990" t="str">
        <f t="shared" si="47"/>
        <v>Medium</v>
      </c>
      <c r="P990" t="str">
        <f>_xlfn.XLOOKUP(Table1[[#This Row],[Customer ID]],customers!$A$2:$A$1001,customers!$I$2:$I$1001,,0)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INDEX(products!$A$1:$G$49,MATCH(orders!$D991,products!$A$1:$A$49,0),MATCH(I$1,products!$A$1:$G$1,0))</f>
        <v>Ara</v>
      </c>
      <c r="J991" t="str">
        <f>INDEX(products!$A$1:$G$49,MATCH(orders!$D991,products!$A$1:$A$49,0),MATCH(J$1,products!$A$1:$G$1,0))</f>
        <v>M</v>
      </c>
      <c r="K991" s="6">
        <f>INDEX(products!$A$1:$G$49,MATCH(orders!$D991,products!$A$1:$A$49,0),MATCH(K$1,products!$A$1:$G$1,0))</f>
        <v>2.5</v>
      </c>
      <c r="L991" s="7">
        <f>INDEX(products!$A$1:$G$49,MATCH(orders!$D991,products!$A$1:$A$49,0),MATCH(L$1,products!$A$1:$G$1,0))</f>
        <v>25.874999999999996</v>
      </c>
      <c r="M991" s="7">
        <f t="shared" si="45"/>
        <v>155.24999999999997</v>
      </c>
      <c r="N991" t="str">
        <f t="shared" si="46"/>
        <v>Arabica</v>
      </c>
      <c r="O991" t="str">
        <f t="shared" si="47"/>
        <v>Medium</v>
      </c>
      <c r="P991" t="str">
        <f>_xlfn.XLOOKUP(Table1[[#This Row],[Customer ID]],customers!$A$2:$A$1001,customers!$I$2:$I$1001,,0)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INDEX(products!$A$1:$G$49,MATCH(orders!$D992,products!$A$1:$A$49,0),MATCH(I$1,products!$A$1:$G$1,0))</f>
        <v>Exc</v>
      </c>
      <c r="J992" t="str">
        <f>INDEX(products!$A$1:$G$49,MATCH(orders!$D992,products!$A$1:$A$49,0),MATCH(J$1,products!$A$1:$G$1,0))</f>
        <v>D</v>
      </c>
      <c r="K992" s="6">
        <f>INDEX(products!$A$1:$G$49,MATCH(orders!$D992,products!$A$1:$A$49,0),MATCH(K$1,products!$A$1:$G$1,0))</f>
        <v>0.2</v>
      </c>
      <c r="L992" s="7">
        <f>INDEX(products!$A$1:$G$49,MATCH(orders!$D992,products!$A$1:$A$49,0),MATCH(L$1,products!$A$1:$G$1,0))</f>
        <v>3.645</v>
      </c>
      <c r="M992" s="7">
        <f t="shared" si="45"/>
        <v>18.225000000000001</v>
      </c>
      <c r="N992" t="str">
        <f t="shared" si="46"/>
        <v>Excelsa</v>
      </c>
      <c r="O992" t="str">
        <f t="shared" si="47"/>
        <v>Dark</v>
      </c>
      <c r="P992" t="str">
        <f>_xlfn.XLOOKUP(Table1[[#This Row],[Customer ID]],customers!$A$2:$A$1001,customers!$I$2:$I$1001,,0)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INDEX(products!$A$1:$G$49,MATCH(orders!$D993,products!$A$1:$A$49,0),MATCH(I$1,products!$A$1:$G$1,0))</f>
        <v>Lib</v>
      </c>
      <c r="J993" t="str">
        <f>INDEX(products!$A$1:$G$49,MATCH(orders!$D993,products!$A$1:$A$49,0),MATCH(J$1,products!$A$1:$G$1,0))</f>
        <v>D</v>
      </c>
      <c r="K993" s="6">
        <f>INDEX(products!$A$1:$G$49,MATCH(orders!$D993,products!$A$1:$A$49,0),MATCH(K$1,products!$A$1:$G$1,0))</f>
        <v>0.5</v>
      </c>
      <c r="L993" s="7">
        <f>INDEX(products!$A$1:$G$49,MATCH(orders!$D993,products!$A$1:$A$49,0),MATCH(L$1,products!$A$1:$G$1,0))</f>
        <v>7.77</v>
      </c>
      <c r="M993" s="7">
        <f t="shared" si="45"/>
        <v>15.54</v>
      </c>
      <c r="N993" t="str">
        <f t="shared" si="46"/>
        <v>Liberica</v>
      </c>
      <c r="O993" t="str">
        <f t="shared" si="47"/>
        <v>Dark</v>
      </c>
      <c r="P993" t="str">
        <f>_xlfn.XLOOKUP(Table1[[#This Row],[Customer ID]],customers!$A$2:$A$1001,customers!$I$2:$I$1001,,0)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INDEX(products!$A$1:$G$49,MATCH(orders!$D994,products!$A$1:$A$49,0),MATCH(I$1,products!$A$1:$G$1,0))</f>
        <v>Lib</v>
      </c>
      <c r="J994" t="str">
        <f>INDEX(products!$A$1:$G$49,MATCH(orders!$D994,products!$A$1:$A$49,0),MATCH(J$1,products!$A$1:$G$1,0))</f>
        <v>L</v>
      </c>
      <c r="K994" s="6">
        <f>INDEX(products!$A$1:$G$49,MATCH(orders!$D994,products!$A$1:$A$49,0),MATCH(K$1,products!$A$1:$G$1,0))</f>
        <v>2.5</v>
      </c>
      <c r="L994" s="7">
        <f>INDEX(products!$A$1:$G$49,MATCH(orders!$D994,products!$A$1:$A$49,0),MATCH(L$1,products!$A$1:$G$1,0))</f>
        <v>36.454999999999998</v>
      </c>
      <c r="M994" s="7">
        <f t="shared" si="45"/>
        <v>109.36499999999999</v>
      </c>
      <c r="N994" t="str">
        <f t="shared" si="46"/>
        <v>Liberica</v>
      </c>
      <c r="O994" t="str">
        <f t="shared" si="47"/>
        <v>Light</v>
      </c>
      <c r="P994" t="str">
        <f>_xlfn.XLOOKUP(Table1[[#This Row],[Customer ID]],customers!$A$2:$A$1001,customers!$I$2:$I$1001,,0)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INDEX(products!$A$1:$G$49,MATCH(orders!$D995,products!$A$1:$A$49,0),MATCH(I$1,products!$A$1:$G$1,0))</f>
        <v>Ara</v>
      </c>
      <c r="J995" t="str">
        <f>INDEX(products!$A$1:$G$49,MATCH(orders!$D995,products!$A$1:$A$49,0),MATCH(J$1,products!$A$1:$G$1,0))</f>
        <v>L</v>
      </c>
      <c r="K995" s="6">
        <f>INDEX(products!$A$1:$G$49,MATCH(orders!$D995,products!$A$1:$A$49,0),MATCH(K$1,products!$A$1:$G$1,0))</f>
        <v>1</v>
      </c>
      <c r="L995" s="7">
        <f>INDEX(products!$A$1:$G$49,MATCH(orders!$D995,products!$A$1:$A$49,0),MATCH(L$1,products!$A$1:$G$1,0))</f>
        <v>12.95</v>
      </c>
      <c r="M995" s="7">
        <f t="shared" si="45"/>
        <v>77.699999999999989</v>
      </c>
      <c r="N995" t="str">
        <f t="shared" si="46"/>
        <v>Arabica</v>
      </c>
      <c r="O995" t="str">
        <f t="shared" si="47"/>
        <v>Light</v>
      </c>
      <c r="P995" t="str">
        <f>_xlfn.XLOOKUP(Table1[[#This Row],[Customer ID]],customers!$A$2:$A$1001,customers!$I$2:$I$1001,,0)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INDEX(products!$A$1:$G$49,MATCH(orders!$D996,products!$A$1:$A$49,0),MATCH(I$1,products!$A$1:$G$1,0))</f>
        <v>Ara</v>
      </c>
      <c r="J996" t="str">
        <f>INDEX(products!$A$1:$G$49,MATCH(orders!$D996,products!$A$1:$A$49,0),MATCH(J$1,products!$A$1:$G$1,0))</f>
        <v>D</v>
      </c>
      <c r="K996" s="6">
        <f>INDEX(products!$A$1:$G$49,MATCH(orders!$D996,products!$A$1:$A$49,0),MATCH(K$1,products!$A$1:$G$1,0))</f>
        <v>0.2</v>
      </c>
      <c r="L996" s="7">
        <f>INDEX(products!$A$1:$G$49,MATCH(orders!$D996,products!$A$1:$A$49,0),MATCH(L$1,products!$A$1:$G$1,0))</f>
        <v>2.9849999999999999</v>
      </c>
      <c r="M996" s="7">
        <f t="shared" si="45"/>
        <v>8.9550000000000001</v>
      </c>
      <c r="N996" t="str">
        <f t="shared" si="46"/>
        <v>Arabica</v>
      </c>
      <c r="O996" t="str">
        <f t="shared" si="47"/>
        <v>Dark</v>
      </c>
      <c r="P996" t="str">
        <f>_xlfn.XLOOKUP(Table1[[#This Row],[Customer ID]],customers!$A$2:$A$1001,customers!$I$2:$I$1001,,0)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INDEX(products!$A$1:$G$49,MATCH(orders!$D997,products!$A$1:$A$49,0),MATCH(I$1,products!$A$1:$G$1,0))</f>
        <v>Rob</v>
      </c>
      <c r="J997" t="str">
        <f>INDEX(products!$A$1:$G$49,MATCH(orders!$D997,products!$A$1:$A$49,0),MATCH(J$1,products!$A$1:$G$1,0))</f>
        <v>L</v>
      </c>
      <c r="K997" s="6">
        <f>INDEX(products!$A$1:$G$49,MATCH(orders!$D997,products!$A$1:$A$49,0),MATCH(K$1,products!$A$1:$G$1,0))</f>
        <v>2.5</v>
      </c>
      <c r="L997" s="7">
        <f>INDEX(products!$A$1:$G$49,MATCH(orders!$D997,products!$A$1:$A$49,0),MATCH(L$1,products!$A$1:$G$1,0))</f>
        <v>27.484999999999996</v>
      </c>
      <c r="M997" s="7">
        <f t="shared" si="45"/>
        <v>27.484999999999996</v>
      </c>
      <c r="N997" t="str">
        <f t="shared" si="46"/>
        <v>Robusta</v>
      </c>
      <c r="O997" t="str">
        <f t="shared" si="47"/>
        <v>Light</v>
      </c>
      <c r="P997" t="str">
        <f>_xlfn.XLOOKUP(Table1[[#This Row],[Customer ID]],customers!$A$2:$A$1001,customers!$I$2:$I$1001,,0)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INDEX(products!$A$1:$G$49,MATCH(orders!$D998,products!$A$1:$A$49,0),MATCH(I$1,products!$A$1:$G$1,0))</f>
        <v>Rob</v>
      </c>
      <c r="J998" t="str">
        <f>INDEX(products!$A$1:$G$49,MATCH(orders!$D998,products!$A$1:$A$49,0),MATCH(J$1,products!$A$1:$G$1,0))</f>
        <v>M</v>
      </c>
      <c r="K998" s="6">
        <f>INDEX(products!$A$1:$G$49,MATCH(orders!$D998,products!$A$1:$A$49,0),MATCH(K$1,products!$A$1:$G$1,0))</f>
        <v>0.5</v>
      </c>
      <c r="L998" s="7">
        <f>INDEX(products!$A$1:$G$49,MATCH(orders!$D998,products!$A$1:$A$49,0),MATCH(L$1,products!$A$1:$G$1,0))</f>
        <v>5.97</v>
      </c>
      <c r="M998" s="7">
        <f t="shared" si="45"/>
        <v>29.849999999999998</v>
      </c>
      <c r="N998" t="str">
        <f t="shared" si="46"/>
        <v>Robusta</v>
      </c>
      <c r="O998" t="str">
        <f t="shared" si="47"/>
        <v>Medium</v>
      </c>
      <c r="P998" t="str">
        <f>_xlfn.XLOOKUP(Table1[[#This Row],[Customer ID]],customers!$A$2:$A$1001,customers!$I$2:$I$1001,,0)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INDEX(products!$A$1:$G$49,MATCH(orders!$D999,products!$A$1:$A$49,0),MATCH(I$1,products!$A$1:$G$1,0))</f>
        <v>Ara</v>
      </c>
      <c r="J999" t="str">
        <f>INDEX(products!$A$1:$G$49,MATCH(orders!$D999,products!$A$1:$A$49,0),MATCH(J$1,products!$A$1:$G$1,0))</f>
        <v>M</v>
      </c>
      <c r="K999" s="6">
        <f>INDEX(products!$A$1:$G$49,MATCH(orders!$D999,products!$A$1:$A$49,0),MATCH(K$1,products!$A$1:$G$1,0))</f>
        <v>0.5</v>
      </c>
      <c r="L999" s="7">
        <f>INDEX(products!$A$1:$G$49,MATCH(orders!$D999,products!$A$1:$A$49,0),MATCH(L$1,products!$A$1:$G$1,0))</f>
        <v>6.75</v>
      </c>
      <c r="M999" s="7">
        <f t="shared" si="45"/>
        <v>27</v>
      </c>
      <c r="N999" t="str">
        <f t="shared" si="46"/>
        <v>Arabica</v>
      </c>
      <c r="O999" t="str">
        <f t="shared" si="47"/>
        <v>Medium</v>
      </c>
      <c r="P999" t="str">
        <f>_xlfn.XLOOKUP(Table1[[#This Row],[Customer ID]],customers!$A$2:$A$1001,customers!$I$2:$I$1001,,0)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INDEX(products!$A$1:$G$49,MATCH(orders!$D1000,products!$A$1:$A$49,0),MATCH(I$1,products!$A$1:$G$1,0))</f>
        <v>Ara</v>
      </c>
      <c r="J1000" t="str">
        <f>INDEX(products!$A$1:$G$49,MATCH(orders!$D1000,products!$A$1:$A$49,0),MATCH(J$1,products!$A$1:$G$1,0))</f>
        <v>D</v>
      </c>
      <c r="K1000" s="6">
        <f>INDEX(products!$A$1:$G$49,MATCH(orders!$D1000,products!$A$1:$A$49,0),MATCH(K$1,products!$A$1:$G$1,0))</f>
        <v>1</v>
      </c>
      <c r="L1000" s="7">
        <f>INDEX(products!$A$1:$G$49,MATCH(orders!$D1000,products!$A$1:$A$49,0),MATCH(L$1,products!$A$1:$G$1,0))</f>
        <v>9.9499999999999993</v>
      </c>
      <c r="M1000" s="7">
        <f t="shared" si="45"/>
        <v>9.9499999999999993</v>
      </c>
      <c r="N1000" t="str">
        <f t="shared" si="46"/>
        <v>Arabica</v>
      </c>
      <c r="O1000" t="str">
        <f t="shared" si="47"/>
        <v>Dark</v>
      </c>
      <c r="P1000" t="str">
        <f>_xlfn.XLOOKUP(Table1[[#This Row],[Customer ID]],customers!$A$2:$A$1001,customers!$I$2:$I$1001,,0)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INDEX(products!$A$1:$G$49,MATCH(orders!$D1001,products!$A$1:$A$49,0),MATCH(I$1,products!$A$1:$G$1,0))</f>
        <v>Exc</v>
      </c>
      <c r="J1001" t="str">
        <f>INDEX(products!$A$1:$G$49,MATCH(orders!$D1001,products!$A$1:$A$49,0),MATCH(J$1,products!$A$1:$G$1,0))</f>
        <v>M</v>
      </c>
      <c r="K1001" s="6">
        <f>INDEX(products!$A$1:$G$49,MATCH(orders!$D1001,products!$A$1:$A$49,0),MATCH(K$1,products!$A$1:$G$1,0))</f>
        <v>0.2</v>
      </c>
      <c r="L1001" s="7">
        <f>INDEX(products!$A$1:$G$49,MATCH(orders!$D1001,products!$A$1:$A$49,0),MATCH(L$1,products!$A$1:$G$1,0))</f>
        <v>4.125</v>
      </c>
      <c r="M1001" s="7">
        <f t="shared" si="45"/>
        <v>12.375</v>
      </c>
      <c r="N1001" t="str">
        <f t="shared" si="46"/>
        <v>Excelsa</v>
      </c>
      <c r="O1001" t="str">
        <f t="shared" si="47"/>
        <v>Medium</v>
      </c>
      <c r="P1001" t="str">
        <f>_xlfn.XLOOKUP(Table1[[#This Row],[Customer ID]],customers!$A$2:$A$1001,customers!$I$2:$I$1001,,0)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H3" sqref="H3"/>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L34" sqref="L34"/>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FFC10-3C5D-4462-9DA3-39A5C03FBB5D}">
  <dimension ref="A3:C17"/>
  <sheetViews>
    <sheetView workbookViewId="0">
      <selection activeCell="A17" sqref="A16:A17"/>
    </sheetView>
  </sheetViews>
  <sheetFormatPr defaultRowHeight="15" x14ac:dyDescent="0.25"/>
  <cols>
    <col min="1" max="1" width="18.140625" bestFit="1" customWidth="1"/>
    <col min="2" max="2" width="20.140625" bestFit="1" customWidth="1"/>
    <col min="3" max="3" width="7.5703125" bestFit="1" customWidth="1"/>
  </cols>
  <sheetData>
    <row r="3" spans="1:3" x14ac:dyDescent="0.25">
      <c r="A3" t="s">
        <v>6233</v>
      </c>
    </row>
    <row r="4" spans="1:3" x14ac:dyDescent="0.25">
      <c r="A4" s="17">
        <v>3551</v>
      </c>
      <c r="C4" s="17">
        <f>GETPIVOTDATA("Quantity",$A$3)</f>
        <v>3551</v>
      </c>
    </row>
    <row r="8" spans="1:3" x14ac:dyDescent="0.25">
      <c r="A8" t="s">
        <v>6229</v>
      </c>
    </row>
    <row r="9" spans="1:3" x14ac:dyDescent="0.25">
      <c r="A9" s="16">
        <v>45134.254999999997</v>
      </c>
      <c r="C9" s="16">
        <f>GETPIVOTDATA("Sales",$A$8)</f>
        <v>45134.254999999997</v>
      </c>
    </row>
    <row r="16" spans="1:3" x14ac:dyDescent="0.25">
      <c r="A16" t="s">
        <v>6227</v>
      </c>
    </row>
    <row r="17" spans="1:3" x14ac:dyDescent="0.25">
      <c r="A17" s="17">
        <v>1000</v>
      </c>
      <c r="C17" s="17">
        <f>GETPIVOTDATA("Customer Name",$A$16)</f>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33C2-4E5D-4C87-9B25-ADBA548643DC}">
  <dimension ref="A3:F121"/>
  <sheetViews>
    <sheetView workbookViewId="0">
      <selection activeCell="B66" sqref="A54:B66"/>
    </sheetView>
  </sheetViews>
  <sheetFormatPr defaultRowHeight="15" x14ac:dyDescent="0.25"/>
  <cols>
    <col min="1" max="2" width="22" bestFit="1" customWidth="1"/>
    <col min="3" max="3" width="12.140625" bestFit="1" customWidth="1"/>
    <col min="4" max="4" width="7.42578125" bestFit="1" customWidth="1"/>
    <col min="5" max="5" width="7.85546875" bestFit="1" customWidth="1"/>
    <col min="6" max="6" width="8.140625" bestFit="1" customWidth="1"/>
  </cols>
  <sheetData>
    <row r="3" spans="1:6" x14ac:dyDescent="0.25">
      <c r="A3" s="8" t="s">
        <v>6220</v>
      </c>
      <c r="C3" s="8" t="s">
        <v>6196</v>
      </c>
    </row>
    <row r="4" spans="1:6" x14ac:dyDescent="0.25">
      <c r="A4" s="8" t="s">
        <v>6214</v>
      </c>
      <c r="B4" s="8" t="s">
        <v>6215</v>
      </c>
      <c r="C4" t="s">
        <v>6216</v>
      </c>
      <c r="D4" t="s">
        <v>6217</v>
      </c>
      <c r="E4" t="s">
        <v>6218</v>
      </c>
      <c r="F4" t="s">
        <v>6219</v>
      </c>
    </row>
    <row r="5" spans="1:6" x14ac:dyDescent="0.25">
      <c r="A5" t="s">
        <v>6198</v>
      </c>
      <c r="B5" t="s">
        <v>6202</v>
      </c>
      <c r="C5" s="9">
        <v>186.85499999999999</v>
      </c>
      <c r="D5" s="9">
        <v>305.97000000000003</v>
      </c>
      <c r="E5" s="9">
        <v>213.15999999999997</v>
      </c>
      <c r="F5" s="9">
        <v>123</v>
      </c>
    </row>
    <row r="6" spans="1:6" x14ac:dyDescent="0.25">
      <c r="B6" t="s">
        <v>6203</v>
      </c>
      <c r="C6" s="9">
        <v>251.96499999999997</v>
      </c>
      <c r="D6" s="9">
        <v>129.46</v>
      </c>
      <c r="E6" s="9">
        <v>434.03999999999996</v>
      </c>
      <c r="F6" s="9">
        <v>171.93999999999997</v>
      </c>
    </row>
    <row r="7" spans="1:6" x14ac:dyDescent="0.25">
      <c r="B7" t="s">
        <v>6204</v>
      </c>
      <c r="C7" s="9">
        <v>224.94499999999999</v>
      </c>
      <c r="D7" s="9">
        <v>349.12</v>
      </c>
      <c r="E7" s="9">
        <v>321.04000000000002</v>
      </c>
      <c r="F7" s="9">
        <v>126.035</v>
      </c>
    </row>
    <row r="8" spans="1:6" x14ac:dyDescent="0.25">
      <c r="B8" t="s">
        <v>6205</v>
      </c>
      <c r="C8" s="9">
        <v>307.12</v>
      </c>
      <c r="D8" s="9">
        <v>681.07499999999993</v>
      </c>
      <c r="E8" s="9">
        <v>533.70499999999993</v>
      </c>
      <c r="F8" s="9">
        <v>158.85</v>
      </c>
    </row>
    <row r="9" spans="1:6" x14ac:dyDescent="0.25">
      <c r="B9" t="s">
        <v>6206</v>
      </c>
      <c r="C9" s="9">
        <v>53.664999999999992</v>
      </c>
      <c r="D9" s="9">
        <v>83.025000000000006</v>
      </c>
      <c r="E9" s="9">
        <v>193.83499999999998</v>
      </c>
      <c r="F9" s="9">
        <v>68.039999999999992</v>
      </c>
    </row>
    <row r="10" spans="1:6" x14ac:dyDescent="0.25">
      <c r="B10" t="s">
        <v>6207</v>
      </c>
      <c r="C10" s="9">
        <v>163.01999999999998</v>
      </c>
      <c r="D10" s="9">
        <v>678.3599999999999</v>
      </c>
      <c r="E10" s="9">
        <v>171.04500000000002</v>
      </c>
      <c r="F10" s="9">
        <v>372.255</v>
      </c>
    </row>
    <row r="11" spans="1:6" x14ac:dyDescent="0.25">
      <c r="B11" t="s">
        <v>6208</v>
      </c>
      <c r="C11" s="9">
        <v>345.02</v>
      </c>
      <c r="D11" s="9">
        <v>273.86999999999995</v>
      </c>
      <c r="E11" s="9">
        <v>184.12999999999997</v>
      </c>
      <c r="F11" s="9">
        <v>201.11499999999998</v>
      </c>
    </row>
    <row r="12" spans="1:6" x14ac:dyDescent="0.25">
      <c r="B12" t="s">
        <v>6209</v>
      </c>
      <c r="C12" s="9">
        <v>334.89</v>
      </c>
      <c r="D12" s="9">
        <v>70.95</v>
      </c>
      <c r="E12" s="9">
        <v>134.23000000000002</v>
      </c>
      <c r="F12" s="9">
        <v>166.27499999999998</v>
      </c>
    </row>
    <row r="13" spans="1:6" x14ac:dyDescent="0.25">
      <c r="B13" t="s">
        <v>6210</v>
      </c>
      <c r="C13" s="9">
        <v>178.70999999999998</v>
      </c>
      <c r="D13" s="9">
        <v>166.1</v>
      </c>
      <c r="E13" s="9">
        <v>439.30999999999995</v>
      </c>
      <c r="F13" s="9">
        <v>492.9</v>
      </c>
    </row>
    <row r="14" spans="1:6" x14ac:dyDescent="0.25">
      <c r="B14" t="s">
        <v>6211</v>
      </c>
      <c r="C14" s="9">
        <v>301.98500000000001</v>
      </c>
      <c r="D14" s="9">
        <v>153.76499999999999</v>
      </c>
      <c r="E14" s="9">
        <v>215.55499999999998</v>
      </c>
      <c r="F14" s="9">
        <v>213.66499999999999</v>
      </c>
    </row>
    <row r="15" spans="1:6" x14ac:dyDescent="0.25">
      <c r="B15" t="s">
        <v>6212</v>
      </c>
      <c r="C15" s="9">
        <v>312.83499999999998</v>
      </c>
      <c r="D15" s="9">
        <v>63.249999999999993</v>
      </c>
      <c r="E15" s="9">
        <v>350.89500000000004</v>
      </c>
      <c r="F15" s="9">
        <v>96.405000000000001</v>
      </c>
    </row>
    <row r="16" spans="1:6" x14ac:dyDescent="0.25">
      <c r="B16" t="s">
        <v>6213</v>
      </c>
      <c r="C16" s="9">
        <v>265.62</v>
      </c>
      <c r="D16" s="9">
        <v>526.51499999999987</v>
      </c>
      <c r="E16" s="9">
        <v>187.06</v>
      </c>
      <c r="F16" s="9">
        <v>210.58999999999997</v>
      </c>
    </row>
    <row r="17" spans="1:6" x14ac:dyDescent="0.25">
      <c r="A17" t="s">
        <v>6199</v>
      </c>
      <c r="B17" t="s">
        <v>6202</v>
      </c>
      <c r="C17" s="9">
        <v>47.25</v>
      </c>
      <c r="D17" s="9">
        <v>65.805000000000007</v>
      </c>
      <c r="E17" s="9">
        <v>274.67500000000001</v>
      </c>
      <c r="F17" s="9">
        <v>179.22</v>
      </c>
    </row>
    <row r="18" spans="1:6" x14ac:dyDescent="0.25">
      <c r="B18" t="s">
        <v>6203</v>
      </c>
      <c r="C18" s="9">
        <v>745.44999999999993</v>
      </c>
      <c r="D18" s="9">
        <v>428.88499999999999</v>
      </c>
      <c r="E18" s="9">
        <v>194.17499999999998</v>
      </c>
      <c r="F18" s="9">
        <v>429.82999999999993</v>
      </c>
    </row>
    <row r="19" spans="1:6" x14ac:dyDescent="0.25">
      <c r="B19" t="s">
        <v>6204</v>
      </c>
      <c r="C19" s="9">
        <v>130.47</v>
      </c>
      <c r="D19" s="9">
        <v>271.48500000000001</v>
      </c>
      <c r="E19" s="9">
        <v>281.20499999999998</v>
      </c>
      <c r="F19" s="9">
        <v>231.63000000000002</v>
      </c>
    </row>
    <row r="20" spans="1:6" x14ac:dyDescent="0.25">
      <c r="B20" t="s">
        <v>6205</v>
      </c>
      <c r="C20" s="9">
        <v>27</v>
      </c>
      <c r="D20" s="9">
        <v>347.26</v>
      </c>
      <c r="E20" s="9">
        <v>147.51</v>
      </c>
      <c r="F20" s="9">
        <v>240.04</v>
      </c>
    </row>
    <row r="21" spans="1:6" x14ac:dyDescent="0.25">
      <c r="B21" t="s">
        <v>6206</v>
      </c>
      <c r="C21" s="9">
        <v>255.11499999999995</v>
      </c>
      <c r="D21" s="9">
        <v>541.73</v>
      </c>
      <c r="E21" s="9">
        <v>83.43</v>
      </c>
      <c r="F21" s="9">
        <v>59.079999999999991</v>
      </c>
    </row>
    <row r="22" spans="1:6" x14ac:dyDescent="0.25">
      <c r="B22" t="s">
        <v>6207</v>
      </c>
      <c r="C22" s="9">
        <v>584.78999999999985</v>
      </c>
      <c r="D22" s="9">
        <v>357.42999999999995</v>
      </c>
      <c r="E22" s="9">
        <v>355.34</v>
      </c>
      <c r="F22" s="9">
        <v>140.88</v>
      </c>
    </row>
    <row r="23" spans="1:6" x14ac:dyDescent="0.25">
      <c r="B23" t="s">
        <v>6208</v>
      </c>
      <c r="C23" s="9">
        <v>430.62</v>
      </c>
      <c r="D23" s="9">
        <v>227.42500000000001</v>
      </c>
      <c r="E23" s="9">
        <v>236.315</v>
      </c>
      <c r="F23" s="9">
        <v>414.58499999999992</v>
      </c>
    </row>
    <row r="24" spans="1:6" x14ac:dyDescent="0.25">
      <c r="B24" t="s">
        <v>6209</v>
      </c>
      <c r="C24" s="9">
        <v>22.5</v>
      </c>
      <c r="D24" s="9">
        <v>77.72</v>
      </c>
      <c r="E24" s="9">
        <v>60.5</v>
      </c>
      <c r="F24" s="9">
        <v>139.67999999999998</v>
      </c>
    </row>
    <row r="25" spans="1:6" x14ac:dyDescent="0.25">
      <c r="B25" t="s">
        <v>6210</v>
      </c>
      <c r="C25" s="9">
        <v>126.14999999999999</v>
      </c>
      <c r="D25" s="9">
        <v>195.11</v>
      </c>
      <c r="E25" s="9">
        <v>89.13</v>
      </c>
      <c r="F25" s="9">
        <v>302.65999999999997</v>
      </c>
    </row>
    <row r="26" spans="1:6" x14ac:dyDescent="0.25">
      <c r="B26" t="s">
        <v>6211</v>
      </c>
      <c r="C26" s="9">
        <v>376.03</v>
      </c>
      <c r="D26" s="9">
        <v>523.24</v>
      </c>
      <c r="E26" s="9">
        <v>440.96499999999997</v>
      </c>
      <c r="F26" s="9">
        <v>174.46999999999997</v>
      </c>
    </row>
    <row r="27" spans="1:6" x14ac:dyDescent="0.25">
      <c r="B27" t="s">
        <v>6212</v>
      </c>
      <c r="C27" s="9">
        <v>515.17999999999995</v>
      </c>
      <c r="D27" s="9">
        <v>142.56</v>
      </c>
      <c r="E27" s="9">
        <v>347.03999999999996</v>
      </c>
      <c r="F27" s="9">
        <v>104.08499999999999</v>
      </c>
    </row>
    <row r="28" spans="1:6" x14ac:dyDescent="0.25">
      <c r="B28" t="s">
        <v>6213</v>
      </c>
      <c r="C28" s="9">
        <v>95.859999999999985</v>
      </c>
      <c r="D28" s="9">
        <v>484.76</v>
      </c>
      <c r="E28" s="9">
        <v>94.17</v>
      </c>
      <c r="F28" s="9">
        <v>77.10499999999999</v>
      </c>
    </row>
    <row r="29" spans="1:6" x14ac:dyDescent="0.25">
      <c r="A29" t="s">
        <v>6200</v>
      </c>
      <c r="B29" t="s">
        <v>6202</v>
      </c>
      <c r="C29" s="9">
        <v>258.34500000000003</v>
      </c>
      <c r="D29" s="9">
        <v>139.625</v>
      </c>
      <c r="E29" s="9">
        <v>279.52000000000004</v>
      </c>
      <c r="F29" s="9">
        <v>160.19499999999999</v>
      </c>
    </row>
    <row r="30" spans="1:6" x14ac:dyDescent="0.25">
      <c r="B30" t="s">
        <v>6203</v>
      </c>
      <c r="C30" s="9">
        <v>342.2</v>
      </c>
      <c r="D30" s="9">
        <v>284.24999999999994</v>
      </c>
      <c r="E30" s="9">
        <v>251.83</v>
      </c>
      <c r="F30" s="9">
        <v>80.550000000000011</v>
      </c>
    </row>
    <row r="31" spans="1:6" x14ac:dyDescent="0.25">
      <c r="B31" t="s">
        <v>6204</v>
      </c>
      <c r="C31" s="9">
        <v>418.30499999999989</v>
      </c>
      <c r="D31" s="9">
        <v>468.125</v>
      </c>
      <c r="E31" s="9">
        <v>405.05500000000006</v>
      </c>
      <c r="F31" s="9">
        <v>253.15499999999997</v>
      </c>
    </row>
    <row r="32" spans="1:6" x14ac:dyDescent="0.25">
      <c r="B32" t="s">
        <v>6205</v>
      </c>
      <c r="C32" s="9">
        <v>102.32999999999998</v>
      </c>
      <c r="D32" s="9">
        <v>242.14000000000001</v>
      </c>
      <c r="E32" s="9">
        <v>554.875</v>
      </c>
      <c r="F32" s="9">
        <v>106.23999999999998</v>
      </c>
    </row>
    <row r="33" spans="1:6" x14ac:dyDescent="0.25">
      <c r="B33" t="s">
        <v>6206</v>
      </c>
      <c r="C33" s="9">
        <v>234.71999999999997</v>
      </c>
      <c r="D33" s="9">
        <v>133.08000000000001</v>
      </c>
      <c r="E33" s="9">
        <v>267.2</v>
      </c>
      <c r="F33" s="9">
        <v>272.68999999999994</v>
      </c>
    </row>
    <row r="34" spans="1:6" x14ac:dyDescent="0.25">
      <c r="B34" t="s">
        <v>6207</v>
      </c>
      <c r="C34" s="9">
        <v>430.39</v>
      </c>
      <c r="D34" s="9">
        <v>136.20500000000001</v>
      </c>
      <c r="E34" s="9">
        <v>209.6</v>
      </c>
      <c r="F34" s="9">
        <v>88.334999999999994</v>
      </c>
    </row>
    <row r="35" spans="1:6" x14ac:dyDescent="0.25">
      <c r="B35" t="s">
        <v>6208</v>
      </c>
      <c r="C35" s="9">
        <v>109.005</v>
      </c>
      <c r="D35" s="9">
        <v>393.57499999999999</v>
      </c>
      <c r="E35" s="9">
        <v>61.034999999999997</v>
      </c>
      <c r="F35" s="9">
        <v>199.48999999999998</v>
      </c>
    </row>
    <row r="36" spans="1:6" x14ac:dyDescent="0.25">
      <c r="B36" t="s">
        <v>6209</v>
      </c>
      <c r="C36" s="9">
        <v>287.52499999999998</v>
      </c>
      <c r="D36" s="9">
        <v>288.67</v>
      </c>
      <c r="E36" s="9">
        <v>125.58</v>
      </c>
      <c r="F36" s="9">
        <v>374.13499999999999</v>
      </c>
    </row>
    <row r="37" spans="1:6" x14ac:dyDescent="0.25">
      <c r="B37" t="s">
        <v>6210</v>
      </c>
      <c r="C37" s="9">
        <v>840.92999999999984</v>
      </c>
      <c r="D37" s="9">
        <v>409.875</v>
      </c>
      <c r="E37" s="9">
        <v>171.32999999999998</v>
      </c>
      <c r="F37" s="9">
        <v>221.43999999999997</v>
      </c>
    </row>
    <row r="38" spans="1:6" x14ac:dyDescent="0.25">
      <c r="B38" t="s">
        <v>6211</v>
      </c>
      <c r="C38" s="9">
        <v>299.07</v>
      </c>
      <c r="D38" s="9">
        <v>260.32499999999999</v>
      </c>
      <c r="E38" s="9">
        <v>584.64</v>
      </c>
      <c r="F38" s="9">
        <v>256.36500000000001</v>
      </c>
    </row>
    <row r="39" spans="1:6" x14ac:dyDescent="0.25">
      <c r="B39" t="s">
        <v>6212</v>
      </c>
      <c r="C39" s="9">
        <v>323.32499999999999</v>
      </c>
      <c r="D39" s="9">
        <v>565.57000000000005</v>
      </c>
      <c r="E39" s="9">
        <v>537.80999999999995</v>
      </c>
      <c r="F39" s="9">
        <v>189.47499999999999</v>
      </c>
    </row>
    <row r="40" spans="1:6" x14ac:dyDescent="0.25">
      <c r="B40" t="s">
        <v>6213</v>
      </c>
      <c r="C40" s="9">
        <v>399.48499999999996</v>
      </c>
      <c r="D40" s="9">
        <v>148.19999999999999</v>
      </c>
      <c r="E40" s="9">
        <v>388.21999999999997</v>
      </c>
      <c r="F40" s="9">
        <v>212.07499999999999</v>
      </c>
    </row>
    <row r="41" spans="1:6" x14ac:dyDescent="0.25">
      <c r="A41" t="s">
        <v>6201</v>
      </c>
      <c r="B41" t="s">
        <v>6202</v>
      </c>
      <c r="C41" s="9">
        <v>112.69499999999999</v>
      </c>
      <c r="D41" s="9">
        <v>166.32</v>
      </c>
      <c r="E41" s="9">
        <v>843.71499999999992</v>
      </c>
      <c r="F41" s="9">
        <v>146.685</v>
      </c>
    </row>
    <row r="42" spans="1:6" x14ac:dyDescent="0.25">
      <c r="B42" t="s">
        <v>6203</v>
      </c>
      <c r="C42" s="9">
        <v>114.87999999999998</v>
      </c>
      <c r="D42" s="9">
        <v>133.815</v>
      </c>
      <c r="E42" s="9">
        <v>91.175000000000011</v>
      </c>
      <c r="F42" s="9">
        <v>53.759999999999991</v>
      </c>
    </row>
    <row r="43" spans="1:6" x14ac:dyDescent="0.25">
      <c r="B43" t="s">
        <v>6204</v>
      </c>
      <c r="C43" s="9">
        <v>277.76</v>
      </c>
      <c r="D43" s="9">
        <v>175.41</v>
      </c>
      <c r="E43" s="9">
        <v>462.50999999999993</v>
      </c>
      <c r="F43" s="9">
        <v>399.52499999999998</v>
      </c>
    </row>
    <row r="44" spans="1:6" x14ac:dyDescent="0.25">
      <c r="B44" t="s">
        <v>6205</v>
      </c>
      <c r="C44" s="9">
        <v>197.89499999999998</v>
      </c>
      <c r="D44" s="9">
        <v>289.755</v>
      </c>
      <c r="E44" s="9">
        <v>88.545000000000002</v>
      </c>
      <c r="F44" s="9">
        <v>200.25499999999997</v>
      </c>
    </row>
    <row r="45" spans="1:6" x14ac:dyDescent="0.25">
      <c r="B45" t="s">
        <v>6206</v>
      </c>
      <c r="C45" s="9">
        <v>193.11499999999998</v>
      </c>
      <c r="D45" s="9">
        <v>212.49499999999998</v>
      </c>
      <c r="E45" s="9">
        <v>292.29000000000002</v>
      </c>
      <c r="F45" s="9">
        <v>304.46999999999997</v>
      </c>
    </row>
    <row r="46" spans="1:6" x14ac:dyDescent="0.25">
      <c r="B46" t="s">
        <v>6207</v>
      </c>
      <c r="C46" s="9">
        <v>179.79</v>
      </c>
      <c r="D46" s="9">
        <v>426.2</v>
      </c>
      <c r="E46" s="9">
        <v>170.08999999999997</v>
      </c>
      <c r="F46" s="9">
        <v>379.31</v>
      </c>
    </row>
    <row r="47" spans="1:6" x14ac:dyDescent="0.25">
      <c r="B47" t="s">
        <v>6208</v>
      </c>
      <c r="C47" s="9">
        <v>247.28999999999996</v>
      </c>
      <c r="D47" s="9">
        <v>246.685</v>
      </c>
      <c r="E47" s="9">
        <v>271.05499999999995</v>
      </c>
      <c r="F47" s="9">
        <v>141.69999999999999</v>
      </c>
    </row>
    <row r="48" spans="1:6" x14ac:dyDescent="0.25">
      <c r="B48" t="s">
        <v>6209</v>
      </c>
      <c r="C48" s="9">
        <v>116.39499999999998</v>
      </c>
      <c r="D48" s="9">
        <v>41.25</v>
      </c>
      <c r="E48" s="9">
        <v>15.54</v>
      </c>
      <c r="F48" s="9">
        <v>71.06</v>
      </c>
    </row>
    <row r="54" spans="1:2" x14ac:dyDescent="0.25">
      <c r="A54" s="8" t="s">
        <v>6215</v>
      </c>
      <c r="B54" t="s">
        <v>6220</v>
      </c>
    </row>
    <row r="55" spans="1:2" x14ac:dyDescent="0.25">
      <c r="A55" t="s">
        <v>6202</v>
      </c>
      <c r="B55" s="9">
        <v>3503.0350000000008</v>
      </c>
    </row>
    <row r="56" spans="1:2" x14ac:dyDescent="0.25">
      <c r="A56" t="s">
        <v>6203</v>
      </c>
      <c r="B56" s="9">
        <v>4138.2050000000008</v>
      </c>
    </row>
    <row r="57" spans="1:2" x14ac:dyDescent="0.25">
      <c r="A57" t="s">
        <v>6204</v>
      </c>
      <c r="B57" s="9">
        <v>4795.7750000000015</v>
      </c>
    </row>
    <row r="58" spans="1:2" x14ac:dyDescent="0.25">
      <c r="A58" t="s">
        <v>6205</v>
      </c>
      <c r="B58" s="9">
        <v>4224.5949999999993</v>
      </c>
    </row>
    <row r="59" spans="1:2" x14ac:dyDescent="0.25">
      <c r="A59" t="s">
        <v>6206</v>
      </c>
      <c r="B59" s="9">
        <v>3247.98</v>
      </c>
    </row>
    <row r="60" spans="1:2" x14ac:dyDescent="0.25">
      <c r="A60" t="s">
        <v>6207</v>
      </c>
      <c r="B60" s="9">
        <v>4843.04</v>
      </c>
    </row>
    <row r="61" spans="1:2" x14ac:dyDescent="0.25">
      <c r="A61" t="s">
        <v>6208</v>
      </c>
      <c r="B61" s="9">
        <v>3982.915</v>
      </c>
    </row>
    <row r="62" spans="1:2" x14ac:dyDescent="0.25">
      <c r="A62" t="s">
        <v>6209</v>
      </c>
      <c r="B62" s="9">
        <v>2326.9</v>
      </c>
    </row>
    <row r="63" spans="1:2" x14ac:dyDescent="0.25">
      <c r="A63" t="s">
        <v>6210</v>
      </c>
      <c r="B63" s="9">
        <v>3633.6449999999991</v>
      </c>
    </row>
    <row r="64" spans="1:2" x14ac:dyDescent="0.25">
      <c r="A64" t="s">
        <v>6211</v>
      </c>
      <c r="B64" s="9">
        <v>3800.0750000000007</v>
      </c>
    </row>
    <row r="65" spans="1:3" x14ac:dyDescent="0.25">
      <c r="A65" t="s">
        <v>6212</v>
      </c>
      <c r="B65" s="9">
        <v>3548.4299999999994</v>
      </c>
    </row>
    <row r="66" spans="1:3" x14ac:dyDescent="0.25">
      <c r="A66" t="s">
        <v>6213</v>
      </c>
      <c r="B66" s="9">
        <v>3089.6600000000003</v>
      </c>
    </row>
    <row r="77" spans="1:3" x14ac:dyDescent="0.25">
      <c r="A77" s="8" t="s">
        <v>6214</v>
      </c>
      <c r="B77" s="8" t="s">
        <v>6215</v>
      </c>
      <c r="C77" t="s">
        <v>6220</v>
      </c>
    </row>
    <row r="78" spans="1:3" x14ac:dyDescent="0.25">
      <c r="A78" t="s">
        <v>6198</v>
      </c>
      <c r="B78" t="s">
        <v>6202</v>
      </c>
      <c r="C78" s="9">
        <v>828.9849999999999</v>
      </c>
    </row>
    <row r="79" spans="1:3" x14ac:dyDescent="0.25">
      <c r="B79" t="s">
        <v>6203</v>
      </c>
      <c r="C79" s="9">
        <v>987.40499999999997</v>
      </c>
    </row>
    <row r="80" spans="1:3" x14ac:dyDescent="0.25">
      <c r="B80" t="s">
        <v>6204</v>
      </c>
      <c r="C80" s="9">
        <v>1021.1399999999998</v>
      </c>
    </row>
    <row r="81" spans="1:3" x14ac:dyDescent="0.25">
      <c r="B81" t="s">
        <v>6205</v>
      </c>
      <c r="C81" s="9">
        <v>1680.7499999999998</v>
      </c>
    </row>
    <row r="82" spans="1:3" x14ac:dyDescent="0.25">
      <c r="B82" t="s">
        <v>6206</v>
      </c>
      <c r="C82" s="9">
        <v>398.565</v>
      </c>
    </row>
    <row r="83" spans="1:3" x14ac:dyDescent="0.25">
      <c r="B83" t="s">
        <v>6207</v>
      </c>
      <c r="C83" s="9">
        <v>1384.6799999999998</v>
      </c>
    </row>
    <row r="84" spans="1:3" x14ac:dyDescent="0.25">
      <c r="B84" t="s">
        <v>6208</v>
      </c>
      <c r="C84" s="9">
        <v>1004.135</v>
      </c>
    </row>
    <row r="85" spans="1:3" x14ac:dyDescent="0.25">
      <c r="B85" t="s">
        <v>6209</v>
      </c>
      <c r="C85" s="9">
        <v>706.34500000000003</v>
      </c>
    </row>
    <row r="86" spans="1:3" x14ac:dyDescent="0.25">
      <c r="B86" t="s">
        <v>6210</v>
      </c>
      <c r="C86" s="9">
        <v>1277.0199999999998</v>
      </c>
    </row>
    <row r="87" spans="1:3" x14ac:dyDescent="0.25">
      <c r="B87" t="s">
        <v>6211</v>
      </c>
      <c r="C87" s="9">
        <v>884.96999999999991</v>
      </c>
    </row>
    <row r="88" spans="1:3" x14ac:dyDescent="0.25">
      <c r="B88" t="s">
        <v>6212</v>
      </c>
      <c r="C88" s="9">
        <v>823.38499999999988</v>
      </c>
    </row>
    <row r="89" spans="1:3" x14ac:dyDescent="0.25">
      <c r="B89" t="s">
        <v>6213</v>
      </c>
      <c r="C89" s="9">
        <v>1189.7849999999999</v>
      </c>
    </row>
    <row r="90" spans="1:3" x14ac:dyDescent="0.25">
      <c r="A90" t="s">
        <v>6199</v>
      </c>
      <c r="B90" t="s">
        <v>6202</v>
      </c>
      <c r="C90" s="9">
        <v>566.94999999999993</v>
      </c>
    </row>
    <row r="91" spans="1:3" x14ac:dyDescent="0.25">
      <c r="B91" t="s">
        <v>6203</v>
      </c>
      <c r="C91" s="9">
        <v>1798.3399999999997</v>
      </c>
    </row>
    <row r="92" spans="1:3" x14ac:dyDescent="0.25">
      <c r="B92" t="s">
        <v>6204</v>
      </c>
      <c r="C92" s="9">
        <v>914.78999999999985</v>
      </c>
    </row>
    <row r="93" spans="1:3" x14ac:dyDescent="0.25">
      <c r="B93" t="s">
        <v>6205</v>
      </c>
      <c r="C93" s="9">
        <v>761.80999999999983</v>
      </c>
    </row>
    <row r="94" spans="1:3" x14ac:dyDescent="0.25">
      <c r="B94" t="s">
        <v>6206</v>
      </c>
      <c r="C94" s="9">
        <v>939.35500000000013</v>
      </c>
    </row>
    <row r="95" spans="1:3" x14ac:dyDescent="0.25">
      <c r="B95" t="s">
        <v>6207</v>
      </c>
      <c r="C95" s="9">
        <v>1438.4399999999998</v>
      </c>
    </row>
    <row r="96" spans="1:3" x14ac:dyDescent="0.25">
      <c r="B96" t="s">
        <v>6208</v>
      </c>
      <c r="C96" s="9">
        <v>1308.9449999999999</v>
      </c>
    </row>
    <row r="97" spans="1:3" x14ac:dyDescent="0.25">
      <c r="B97" t="s">
        <v>6209</v>
      </c>
      <c r="C97" s="9">
        <v>300.39999999999998</v>
      </c>
    </row>
    <row r="98" spans="1:3" x14ac:dyDescent="0.25">
      <c r="B98" t="s">
        <v>6210</v>
      </c>
      <c r="C98" s="9">
        <v>713.05</v>
      </c>
    </row>
    <row r="99" spans="1:3" x14ac:dyDescent="0.25">
      <c r="B99" t="s">
        <v>6211</v>
      </c>
      <c r="C99" s="9">
        <v>1514.7049999999999</v>
      </c>
    </row>
    <row r="100" spans="1:3" x14ac:dyDescent="0.25">
      <c r="B100" t="s">
        <v>6212</v>
      </c>
      <c r="C100" s="9">
        <v>1108.865</v>
      </c>
    </row>
    <row r="101" spans="1:3" x14ac:dyDescent="0.25">
      <c r="B101" t="s">
        <v>6213</v>
      </c>
      <c r="C101" s="9">
        <v>751.89499999999975</v>
      </c>
    </row>
    <row r="102" spans="1:3" x14ac:dyDescent="0.25">
      <c r="A102" t="s">
        <v>6200</v>
      </c>
      <c r="B102" t="s">
        <v>6202</v>
      </c>
      <c r="C102" s="9">
        <v>837.68499999999995</v>
      </c>
    </row>
    <row r="103" spans="1:3" x14ac:dyDescent="0.25">
      <c r="B103" t="s">
        <v>6203</v>
      </c>
      <c r="C103" s="9">
        <v>958.82999999999981</v>
      </c>
    </row>
    <row r="104" spans="1:3" x14ac:dyDescent="0.25">
      <c r="B104" t="s">
        <v>6204</v>
      </c>
      <c r="C104" s="9">
        <v>1544.64</v>
      </c>
    </row>
    <row r="105" spans="1:3" x14ac:dyDescent="0.25">
      <c r="B105" t="s">
        <v>6205</v>
      </c>
      <c r="C105" s="9">
        <v>1005.5849999999998</v>
      </c>
    </row>
    <row r="106" spans="1:3" x14ac:dyDescent="0.25">
      <c r="B106" t="s">
        <v>6206</v>
      </c>
      <c r="C106" s="9">
        <v>907.69</v>
      </c>
    </row>
    <row r="107" spans="1:3" x14ac:dyDescent="0.25">
      <c r="B107" t="s">
        <v>6207</v>
      </c>
      <c r="C107" s="9">
        <v>864.52999999999986</v>
      </c>
    </row>
    <row r="108" spans="1:3" x14ac:dyDescent="0.25">
      <c r="B108" t="s">
        <v>6208</v>
      </c>
      <c r="C108" s="9">
        <v>763.1049999999999</v>
      </c>
    </row>
    <row r="109" spans="1:3" x14ac:dyDescent="0.25">
      <c r="B109" t="s">
        <v>6209</v>
      </c>
      <c r="C109" s="9">
        <v>1075.9100000000001</v>
      </c>
    </row>
    <row r="110" spans="1:3" x14ac:dyDescent="0.25">
      <c r="B110" t="s">
        <v>6210</v>
      </c>
      <c r="C110" s="9">
        <v>1643.5749999999998</v>
      </c>
    </row>
    <row r="111" spans="1:3" x14ac:dyDescent="0.25">
      <c r="B111" t="s">
        <v>6211</v>
      </c>
      <c r="C111" s="9">
        <v>1400.3999999999996</v>
      </c>
    </row>
    <row r="112" spans="1:3" x14ac:dyDescent="0.25">
      <c r="B112" t="s">
        <v>6212</v>
      </c>
      <c r="C112" s="9">
        <v>1616.1799999999998</v>
      </c>
    </row>
    <row r="113" spans="1:3" x14ac:dyDescent="0.25">
      <c r="B113" t="s">
        <v>6213</v>
      </c>
      <c r="C113" s="9">
        <v>1147.98</v>
      </c>
    </row>
    <row r="114" spans="1:3" x14ac:dyDescent="0.25">
      <c r="A114" t="s">
        <v>6201</v>
      </c>
      <c r="B114" t="s">
        <v>6202</v>
      </c>
      <c r="C114" s="9">
        <v>1269.4149999999995</v>
      </c>
    </row>
    <row r="115" spans="1:3" x14ac:dyDescent="0.25">
      <c r="B115" t="s">
        <v>6203</v>
      </c>
      <c r="C115" s="9">
        <v>393.63</v>
      </c>
    </row>
    <row r="116" spans="1:3" x14ac:dyDescent="0.25">
      <c r="B116" t="s">
        <v>6204</v>
      </c>
      <c r="C116" s="9">
        <v>1315.2049999999999</v>
      </c>
    </row>
    <row r="117" spans="1:3" x14ac:dyDescent="0.25">
      <c r="B117" t="s">
        <v>6205</v>
      </c>
      <c r="C117" s="9">
        <v>776.44999999999993</v>
      </c>
    </row>
    <row r="118" spans="1:3" x14ac:dyDescent="0.25">
      <c r="B118" t="s">
        <v>6206</v>
      </c>
      <c r="C118" s="9">
        <v>1002.37</v>
      </c>
    </row>
    <row r="119" spans="1:3" x14ac:dyDescent="0.25">
      <c r="B119" t="s">
        <v>6207</v>
      </c>
      <c r="C119" s="9">
        <v>1155.3899999999996</v>
      </c>
    </row>
    <row r="120" spans="1:3" x14ac:dyDescent="0.25">
      <c r="B120" t="s">
        <v>6208</v>
      </c>
      <c r="C120" s="9">
        <v>906.73</v>
      </c>
    </row>
    <row r="121" spans="1:3" x14ac:dyDescent="0.25">
      <c r="B121" t="s">
        <v>6209</v>
      </c>
      <c r="C121" s="9">
        <v>244.24499999999998</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9F172-9DE2-461C-9F4B-AB2B97F7B473}">
  <dimension ref="A3:B6"/>
  <sheetViews>
    <sheetView workbookViewId="0">
      <selection activeCell="B6" sqref="A3:B6"/>
    </sheetView>
  </sheetViews>
  <sheetFormatPr defaultRowHeight="15" x14ac:dyDescent="0.25"/>
  <cols>
    <col min="1" max="1" width="15.42578125" bestFit="1" customWidth="1"/>
    <col min="2" max="4" width="12.140625" bestFit="1" customWidth="1"/>
    <col min="5" max="5" width="7.85546875" bestFit="1" customWidth="1"/>
    <col min="6" max="6" width="8.140625" bestFit="1" customWidth="1"/>
  </cols>
  <sheetData>
    <row r="3" spans="1:2" x14ac:dyDescent="0.25">
      <c r="A3" s="8" t="s">
        <v>7</v>
      </c>
      <c r="B3" t="s">
        <v>6220</v>
      </c>
    </row>
    <row r="4" spans="1:2" x14ac:dyDescent="0.25">
      <c r="A4" t="s">
        <v>28</v>
      </c>
      <c r="B4" s="13">
        <v>2798.5050000000001</v>
      </c>
    </row>
    <row r="5" spans="1:2" x14ac:dyDescent="0.25">
      <c r="A5" t="s">
        <v>318</v>
      </c>
      <c r="B5" s="13">
        <v>6696.8649999999989</v>
      </c>
    </row>
    <row r="6" spans="1:2" x14ac:dyDescent="0.25">
      <c r="A6" t="s">
        <v>19</v>
      </c>
      <c r="B6" s="13">
        <v>35638.88499999998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EDF62-3EB5-44F1-A7D5-057AE31E291C}">
  <dimension ref="A3:C35"/>
  <sheetViews>
    <sheetView workbookViewId="0">
      <selection activeCell="C35" sqref="A33:C35"/>
    </sheetView>
  </sheetViews>
  <sheetFormatPr defaultRowHeight="15" x14ac:dyDescent="0.25"/>
  <cols>
    <col min="1" max="1" width="16.7109375" bestFit="1" customWidth="1"/>
    <col min="2" max="2" width="13.85546875" bestFit="1" customWidth="1"/>
    <col min="3" max="3" width="15.42578125" bestFit="1" customWidth="1"/>
  </cols>
  <sheetData>
    <row r="3" spans="1:2" x14ac:dyDescent="0.25">
      <c r="A3" s="8" t="s">
        <v>6228</v>
      </c>
      <c r="B3" t="s">
        <v>6231</v>
      </c>
    </row>
    <row r="4" spans="1:2" x14ac:dyDescent="0.25">
      <c r="A4" s="11" t="s">
        <v>2587</v>
      </c>
      <c r="B4">
        <v>22</v>
      </c>
    </row>
    <row r="5" spans="1:2" x14ac:dyDescent="0.25">
      <c r="A5" s="11" t="s">
        <v>1598</v>
      </c>
      <c r="B5">
        <v>18</v>
      </c>
    </row>
    <row r="6" spans="1:2" x14ac:dyDescent="0.25">
      <c r="A6" s="11" t="s">
        <v>4435</v>
      </c>
      <c r="B6">
        <v>18</v>
      </c>
    </row>
    <row r="7" spans="1:2" x14ac:dyDescent="0.25">
      <c r="A7" s="11" t="s">
        <v>663</v>
      </c>
      <c r="B7">
        <v>17</v>
      </c>
    </row>
    <row r="8" spans="1:2" x14ac:dyDescent="0.25">
      <c r="A8" s="11" t="s">
        <v>3369</v>
      </c>
      <c r="B8">
        <v>17</v>
      </c>
    </row>
    <row r="14" spans="1:2" x14ac:dyDescent="0.25">
      <c r="A14" s="8" t="s">
        <v>6228</v>
      </c>
      <c r="B14" t="s">
        <v>6229</v>
      </c>
    </row>
    <row r="15" spans="1:2" x14ac:dyDescent="0.25">
      <c r="A15" s="11" t="s">
        <v>5114</v>
      </c>
      <c r="B15" s="7">
        <v>317.06999999999994</v>
      </c>
    </row>
    <row r="16" spans="1:2" x14ac:dyDescent="0.25">
      <c r="A16" s="11" t="s">
        <v>5765</v>
      </c>
      <c r="B16" s="7">
        <v>307.04499999999996</v>
      </c>
    </row>
    <row r="17" spans="1:2" x14ac:dyDescent="0.25">
      <c r="A17" s="11" t="s">
        <v>2587</v>
      </c>
      <c r="B17" s="7">
        <v>289.11</v>
      </c>
    </row>
    <row r="18" spans="1:2" x14ac:dyDescent="0.25">
      <c r="A18" s="11" t="s">
        <v>1598</v>
      </c>
      <c r="B18" s="7">
        <v>281.67499999999995</v>
      </c>
    </row>
    <row r="19" spans="1:2" x14ac:dyDescent="0.25">
      <c r="A19" s="11" t="s">
        <v>3753</v>
      </c>
      <c r="B19" s="7">
        <v>278.01</v>
      </c>
    </row>
    <row r="33" spans="1:3" x14ac:dyDescent="0.25">
      <c r="A33" s="8" t="s">
        <v>6228</v>
      </c>
      <c r="B33" t="s">
        <v>6220</v>
      </c>
      <c r="C33" t="s">
        <v>6226</v>
      </c>
    </row>
    <row r="34" spans="1:3" x14ac:dyDescent="0.25">
      <c r="A34" s="11" t="s">
        <v>6191</v>
      </c>
      <c r="B34" s="7">
        <v>24216.404999999995</v>
      </c>
      <c r="C34">
        <v>1886</v>
      </c>
    </row>
    <row r="35" spans="1:3" x14ac:dyDescent="0.25">
      <c r="A35" s="11" t="s">
        <v>6190</v>
      </c>
      <c r="B35" s="7">
        <v>20917.849999999995</v>
      </c>
      <c r="C35">
        <v>1665</v>
      </c>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33C2-7F27-47AB-B415-5E44D9D2B889}">
  <dimension ref="A4:C37"/>
  <sheetViews>
    <sheetView tabSelected="1" workbookViewId="0">
      <selection activeCell="H26" sqref="H26"/>
    </sheetView>
  </sheetViews>
  <sheetFormatPr defaultRowHeight="15" x14ac:dyDescent="0.25"/>
  <cols>
    <col min="1" max="1" width="18.7109375" bestFit="1" customWidth="1"/>
    <col min="2" max="3" width="15.42578125" bestFit="1" customWidth="1"/>
    <col min="4" max="4" width="12.140625" bestFit="1" customWidth="1"/>
  </cols>
  <sheetData>
    <row r="4" spans="1:3" x14ac:dyDescent="0.25">
      <c r="A4" s="8" t="s">
        <v>6228</v>
      </c>
      <c r="B4" t="s">
        <v>6230</v>
      </c>
      <c r="C4" t="s">
        <v>6226</v>
      </c>
    </row>
    <row r="5" spans="1:3" x14ac:dyDescent="0.25">
      <c r="A5" s="11" t="s">
        <v>6217</v>
      </c>
      <c r="B5" s="7">
        <v>12306.439999999995</v>
      </c>
      <c r="C5">
        <v>872</v>
      </c>
    </row>
    <row r="6" spans="1:3" x14ac:dyDescent="0.25">
      <c r="A6" s="11" t="s">
        <v>6218</v>
      </c>
      <c r="B6" s="7">
        <v>12054.074999999995</v>
      </c>
      <c r="C6">
        <v>854</v>
      </c>
    </row>
    <row r="7" spans="1:3" x14ac:dyDescent="0.25">
      <c r="A7" s="11" t="s">
        <v>6216</v>
      </c>
      <c r="B7" s="7">
        <v>11768.494999999997</v>
      </c>
      <c r="C7">
        <v>947</v>
      </c>
    </row>
    <row r="8" spans="1:3" x14ac:dyDescent="0.25">
      <c r="A8" s="11" t="s">
        <v>6219</v>
      </c>
      <c r="B8" s="7">
        <v>9005.2450000000099</v>
      </c>
      <c r="C8">
        <v>878</v>
      </c>
    </row>
    <row r="25" spans="1:2" x14ac:dyDescent="0.25">
      <c r="A25" s="8" t="s">
        <v>6228</v>
      </c>
      <c r="B25" t="s">
        <v>6232</v>
      </c>
    </row>
    <row r="26" spans="1:2" x14ac:dyDescent="0.25">
      <c r="A26" s="12">
        <v>0.2</v>
      </c>
      <c r="B26">
        <v>892</v>
      </c>
    </row>
    <row r="27" spans="1:2" x14ac:dyDescent="0.25">
      <c r="A27" s="12">
        <v>0.5</v>
      </c>
      <c r="B27">
        <v>943</v>
      </c>
    </row>
    <row r="28" spans="1:2" x14ac:dyDescent="0.25">
      <c r="A28" s="12">
        <v>1</v>
      </c>
      <c r="B28">
        <v>875</v>
      </c>
    </row>
    <row r="29" spans="1:2" x14ac:dyDescent="0.25">
      <c r="A29" s="12">
        <v>2.5</v>
      </c>
      <c r="B29">
        <v>841</v>
      </c>
    </row>
    <row r="34" spans="1:2" x14ac:dyDescent="0.25">
      <c r="A34" s="8" t="s">
        <v>6197</v>
      </c>
      <c r="B34" t="s">
        <v>6226</v>
      </c>
    </row>
    <row r="35" spans="1:2" x14ac:dyDescent="0.25">
      <c r="A35" t="s">
        <v>6224</v>
      </c>
      <c r="B35">
        <v>1156</v>
      </c>
    </row>
    <row r="36" spans="1:2" x14ac:dyDescent="0.25">
      <c r="A36" t="s">
        <v>6223</v>
      </c>
      <c r="B36">
        <v>1230</v>
      </c>
    </row>
    <row r="37" spans="1:2" x14ac:dyDescent="0.25">
      <c r="A37" t="s">
        <v>6221</v>
      </c>
      <c r="B37">
        <v>1165</v>
      </c>
    </row>
  </sheetData>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2FA3-ADF2-445F-AB68-D3F839E33067}">
  <dimension ref="B3:O59"/>
  <sheetViews>
    <sheetView showGridLines="0" workbookViewId="0">
      <selection activeCell="H9" sqref="H9"/>
    </sheetView>
  </sheetViews>
  <sheetFormatPr defaultColWidth="19.85546875" defaultRowHeight="15" x14ac:dyDescent="0.25"/>
  <cols>
    <col min="2" max="2" width="18.140625" bestFit="1" customWidth="1"/>
    <col min="3" max="3" width="22" bestFit="1" customWidth="1"/>
    <col min="4" max="4" width="20" bestFit="1" customWidth="1"/>
    <col min="5" max="5" width="7.42578125" bestFit="1" customWidth="1"/>
    <col min="6" max="6" width="7.85546875" bestFit="1" customWidth="1"/>
    <col min="7" max="7" width="8.140625" bestFit="1" customWidth="1"/>
    <col min="8" max="8" width="11.85546875" bestFit="1" customWidth="1"/>
    <col min="10" max="10" width="15.42578125" bestFit="1" customWidth="1"/>
    <col min="11" max="11" width="12.140625" bestFit="1" customWidth="1"/>
    <col min="12" max="13" width="15.42578125" bestFit="1" customWidth="1"/>
    <col min="14" max="14" width="16.7109375" bestFit="1" customWidth="1"/>
    <col min="15" max="15" width="13.85546875" bestFit="1" customWidth="1"/>
    <col min="17" max="17" width="18.7109375" bestFit="1" customWidth="1"/>
    <col min="18" max="18" width="15.42578125" bestFit="1" customWidth="1"/>
    <col min="19" max="19" width="13.7109375" bestFit="1" customWidth="1"/>
    <col min="22" max="22" width="18.7109375" bestFit="1" customWidth="1"/>
    <col min="23" max="23" width="15.42578125" bestFit="1" customWidth="1"/>
  </cols>
  <sheetData>
    <row r="3" spans="2:15" x14ac:dyDescent="0.25">
      <c r="J3" s="18" t="s">
        <v>6234</v>
      </c>
      <c r="N3" s="18" t="s">
        <v>6236</v>
      </c>
    </row>
    <row r="4" spans="2:15" x14ac:dyDescent="0.25">
      <c r="B4" t="s">
        <v>6233</v>
      </c>
      <c r="E4" t="s">
        <v>6229</v>
      </c>
      <c r="H4" t="s">
        <v>6227</v>
      </c>
      <c r="J4" s="8" t="s">
        <v>7</v>
      </c>
      <c r="K4" t="s">
        <v>6220</v>
      </c>
      <c r="N4" s="8" t="s">
        <v>6228</v>
      </c>
      <c r="O4" t="s">
        <v>6231</v>
      </c>
    </row>
    <row r="5" spans="2:15" x14ac:dyDescent="0.25">
      <c r="B5" s="17">
        <v>3551</v>
      </c>
      <c r="E5" s="16">
        <v>45134.254999999997</v>
      </c>
      <c r="H5" s="17">
        <v>1000</v>
      </c>
      <c r="J5" t="s">
        <v>28</v>
      </c>
      <c r="K5" s="13">
        <v>2798.5050000000001</v>
      </c>
      <c r="N5" s="11" t="s">
        <v>2587</v>
      </c>
      <c r="O5">
        <v>22</v>
      </c>
    </row>
    <row r="6" spans="2:15" x14ac:dyDescent="0.25">
      <c r="J6" t="s">
        <v>318</v>
      </c>
      <c r="K6" s="13">
        <v>6696.8649999999989</v>
      </c>
      <c r="N6" s="11" t="s">
        <v>1598</v>
      </c>
      <c r="O6">
        <v>18</v>
      </c>
    </row>
    <row r="7" spans="2:15" x14ac:dyDescent="0.25">
      <c r="J7" t="s">
        <v>19</v>
      </c>
      <c r="K7" s="13">
        <v>35638.88499999998</v>
      </c>
      <c r="N7" s="11" t="s">
        <v>4435</v>
      </c>
      <c r="O7">
        <v>18</v>
      </c>
    </row>
    <row r="8" spans="2:15" x14ac:dyDescent="0.25">
      <c r="N8" s="11" t="s">
        <v>663</v>
      </c>
      <c r="O8">
        <v>17</v>
      </c>
    </row>
    <row r="9" spans="2:15" x14ac:dyDescent="0.25">
      <c r="N9" s="11" t="s">
        <v>3369</v>
      </c>
      <c r="O9">
        <v>17</v>
      </c>
    </row>
    <row r="13" spans="2:15" x14ac:dyDescent="0.25">
      <c r="B13" s="18" t="s">
        <v>6240</v>
      </c>
      <c r="J13" s="18" t="s">
        <v>6235</v>
      </c>
      <c r="N13" s="18" t="s">
        <v>6237</v>
      </c>
    </row>
    <row r="14" spans="2:15" x14ac:dyDescent="0.25">
      <c r="B14" s="8" t="s">
        <v>6220</v>
      </c>
      <c r="D14" s="8" t="s">
        <v>6196</v>
      </c>
      <c r="J14" s="8" t="s">
        <v>6228</v>
      </c>
      <c r="K14" t="s">
        <v>6230</v>
      </c>
      <c r="L14" t="s">
        <v>6226</v>
      </c>
      <c r="N14" s="8" t="s">
        <v>6228</v>
      </c>
      <c r="O14" t="s">
        <v>6229</v>
      </c>
    </row>
    <row r="15" spans="2:15" x14ac:dyDescent="0.25">
      <c r="B15" s="8" t="s">
        <v>6214</v>
      </c>
      <c r="C15" s="8" t="s">
        <v>6215</v>
      </c>
      <c r="D15" t="s">
        <v>6216</v>
      </c>
      <c r="E15" t="s">
        <v>6217</v>
      </c>
      <c r="F15" t="s">
        <v>6218</v>
      </c>
      <c r="G15" t="s">
        <v>6219</v>
      </c>
      <c r="J15" s="11" t="s">
        <v>6217</v>
      </c>
      <c r="K15" s="7">
        <v>12306.439999999995</v>
      </c>
      <c r="L15">
        <v>872</v>
      </c>
      <c r="N15" s="11" t="s">
        <v>5114</v>
      </c>
      <c r="O15" s="7">
        <v>317.06999999999994</v>
      </c>
    </row>
    <row r="16" spans="2:15" x14ac:dyDescent="0.25">
      <c r="B16" t="s">
        <v>6198</v>
      </c>
      <c r="C16" t="s">
        <v>6202</v>
      </c>
      <c r="D16" s="9">
        <v>186.85499999999999</v>
      </c>
      <c r="E16" s="9">
        <v>305.97000000000003</v>
      </c>
      <c r="F16" s="9">
        <v>213.15999999999997</v>
      </c>
      <c r="G16" s="9">
        <v>123</v>
      </c>
      <c r="J16" s="11" t="s">
        <v>6218</v>
      </c>
      <c r="K16" s="7">
        <v>12054.074999999995</v>
      </c>
      <c r="L16">
        <v>854</v>
      </c>
      <c r="N16" s="11" t="s">
        <v>5765</v>
      </c>
      <c r="O16" s="7">
        <v>307.04499999999996</v>
      </c>
    </row>
    <row r="17" spans="2:15" x14ac:dyDescent="0.25">
      <c r="C17" t="s">
        <v>6203</v>
      </c>
      <c r="D17" s="9">
        <v>251.96499999999997</v>
      </c>
      <c r="E17" s="9">
        <v>129.46</v>
      </c>
      <c r="F17" s="9">
        <v>434.03999999999996</v>
      </c>
      <c r="G17" s="9">
        <v>171.93999999999997</v>
      </c>
      <c r="J17" s="11" t="s">
        <v>6216</v>
      </c>
      <c r="K17" s="7">
        <v>11768.494999999997</v>
      </c>
      <c r="L17">
        <v>947</v>
      </c>
      <c r="N17" s="11" t="s">
        <v>2587</v>
      </c>
      <c r="O17" s="7">
        <v>289.11</v>
      </c>
    </row>
    <row r="18" spans="2:15" x14ac:dyDescent="0.25">
      <c r="C18" t="s">
        <v>6204</v>
      </c>
      <c r="D18" s="9">
        <v>224.94499999999999</v>
      </c>
      <c r="E18" s="9">
        <v>349.12</v>
      </c>
      <c r="F18" s="9">
        <v>321.04000000000002</v>
      </c>
      <c r="G18" s="9">
        <v>126.035</v>
      </c>
      <c r="J18" s="11" t="s">
        <v>6219</v>
      </c>
      <c r="K18" s="7">
        <v>9005.2450000000099</v>
      </c>
      <c r="L18">
        <v>878</v>
      </c>
      <c r="N18" s="11" t="s">
        <v>1598</v>
      </c>
      <c r="O18" s="7">
        <v>281.67499999999995</v>
      </c>
    </row>
    <row r="19" spans="2:15" x14ac:dyDescent="0.25">
      <c r="C19" t="s">
        <v>6205</v>
      </c>
      <c r="D19" s="9">
        <v>307.12</v>
      </c>
      <c r="E19" s="9">
        <v>681.07499999999993</v>
      </c>
      <c r="F19" s="9">
        <v>533.70499999999993</v>
      </c>
      <c r="G19" s="9">
        <v>158.85</v>
      </c>
      <c r="N19" s="11" t="s">
        <v>3753</v>
      </c>
      <c r="O19" s="7">
        <v>278.01</v>
      </c>
    </row>
    <row r="20" spans="2:15" x14ac:dyDescent="0.25">
      <c r="C20" t="s">
        <v>6206</v>
      </c>
      <c r="D20" s="9">
        <v>53.664999999999992</v>
      </c>
      <c r="E20" s="9">
        <v>83.025000000000006</v>
      </c>
      <c r="F20" s="9">
        <v>193.83499999999998</v>
      </c>
      <c r="G20" s="9">
        <v>68.039999999999992</v>
      </c>
    </row>
    <row r="21" spans="2:15" x14ac:dyDescent="0.25">
      <c r="C21" t="s">
        <v>6207</v>
      </c>
      <c r="D21" s="9">
        <v>163.01999999999998</v>
      </c>
      <c r="E21" s="9">
        <v>678.3599999999999</v>
      </c>
      <c r="F21" s="9">
        <v>171.04500000000002</v>
      </c>
      <c r="G21" s="9">
        <v>372.255</v>
      </c>
    </row>
    <row r="22" spans="2:15" x14ac:dyDescent="0.25">
      <c r="C22" t="s">
        <v>6208</v>
      </c>
      <c r="D22" s="9">
        <v>345.02</v>
      </c>
      <c r="E22" s="9">
        <v>273.86999999999995</v>
      </c>
      <c r="F22" s="9">
        <v>184.12999999999997</v>
      </c>
      <c r="G22" s="9">
        <v>201.11499999999998</v>
      </c>
      <c r="J22" s="18" t="s">
        <v>6239</v>
      </c>
    </row>
    <row r="23" spans="2:15" x14ac:dyDescent="0.25">
      <c r="C23" t="s">
        <v>6209</v>
      </c>
      <c r="D23" s="9">
        <v>334.89</v>
      </c>
      <c r="E23" s="9">
        <v>70.95</v>
      </c>
      <c r="F23" s="9">
        <v>134.23000000000002</v>
      </c>
      <c r="G23" s="9">
        <v>166.27499999999998</v>
      </c>
      <c r="J23" s="8" t="s">
        <v>6228</v>
      </c>
      <c r="K23" t="s">
        <v>6232</v>
      </c>
    </row>
    <row r="24" spans="2:15" x14ac:dyDescent="0.25">
      <c r="C24" t="s">
        <v>6210</v>
      </c>
      <c r="D24" s="9">
        <v>178.70999999999998</v>
      </c>
      <c r="E24" s="9">
        <v>166.1</v>
      </c>
      <c r="F24" s="9">
        <v>439.30999999999995</v>
      </c>
      <c r="G24" s="9">
        <v>492.9</v>
      </c>
      <c r="J24" s="12">
        <v>0.2</v>
      </c>
      <c r="K24">
        <v>892</v>
      </c>
    </row>
    <row r="25" spans="2:15" x14ac:dyDescent="0.25">
      <c r="C25" t="s">
        <v>6211</v>
      </c>
      <c r="D25" s="9">
        <v>301.98500000000001</v>
      </c>
      <c r="E25" s="9">
        <v>153.76499999999999</v>
      </c>
      <c r="F25" s="9">
        <v>215.55499999999998</v>
      </c>
      <c r="G25" s="9">
        <v>213.66499999999999</v>
      </c>
      <c r="J25" s="12">
        <v>0.5</v>
      </c>
      <c r="K25">
        <v>943</v>
      </c>
    </row>
    <row r="26" spans="2:15" x14ac:dyDescent="0.25">
      <c r="C26" t="s">
        <v>6212</v>
      </c>
      <c r="D26" s="9">
        <v>312.83499999999998</v>
      </c>
      <c r="E26" s="9">
        <v>63.249999999999993</v>
      </c>
      <c r="F26" s="9">
        <v>350.89500000000004</v>
      </c>
      <c r="G26" s="9">
        <v>96.405000000000001</v>
      </c>
      <c r="J26" s="12">
        <v>1</v>
      </c>
      <c r="K26">
        <v>875</v>
      </c>
    </row>
    <row r="27" spans="2:15" x14ac:dyDescent="0.25">
      <c r="C27" t="s">
        <v>6213</v>
      </c>
      <c r="D27" s="9">
        <v>265.62</v>
      </c>
      <c r="E27" s="9">
        <v>526.51499999999987</v>
      </c>
      <c r="F27" s="9">
        <v>187.06</v>
      </c>
      <c r="G27" s="9">
        <v>210.58999999999997</v>
      </c>
      <c r="J27" s="12">
        <v>2.5</v>
      </c>
      <c r="K27">
        <v>841</v>
      </c>
    </row>
    <row r="28" spans="2:15" x14ac:dyDescent="0.25">
      <c r="B28" t="s">
        <v>6199</v>
      </c>
      <c r="C28" t="s">
        <v>6202</v>
      </c>
      <c r="D28" s="9">
        <v>47.25</v>
      </c>
      <c r="E28" s="9">
        <v>65.805000000000007</v>
      </c>
      <c r="F28" s="9">
        <v>274.67500000000001</v>
      </c>
      <c r="G28" s="9">
        <v>179.22</v>
      </c>
    </row>
    <row r="29" spans="2:15" x14ac:dyDescent="0.25">
      <c r="C29" t="s">
        <v>6203</v>
      </c>
      <c r="D29" s="9">
        <v>745.44999999999993</v>
      </c>
      <c r="E29" s="9">
        <v>428.88499999999999</v>
      </c>
      <c r="F29" s="9">
        <v>194.17499999999998</v>
      </c>
      <c r="G29" s="9">
        <v>429.82999999999993</v>
      </c>
    </row>
    <row r="30" spans="2:15" x14ac:dyDescent="0.25">
      <c r="C30" t="s">
        <v>6204</v>
      </c>
      <c r="D30" s="9">
        <v>130.47</v>
      </c>
      <c r="E30" s="9">
        <v>271.48500000000001</v>
      </c>
      <c r="F30" s="9">
        <v>281.20499999999998</v>
      </c>
      <c r="G30" s="9">
        <v>231.63000000000002</v>
      </c>
    </row>
    <row r="31" spans="2:15" x14ac:dyDescent="0.25">
      <c r="C31" t="s">
        <v>6205</v>
      </c>
      <c r="D31" s="9">
        <v>27</v>
      </c>
      <c r="E31" s="9">
        <v>347.26</v>
      </c>
      <c r="F31" s="9">
        <v>147.51</v>
      </c>
      <c r="G31" s="9">
        <v>240.04</v>
      </c>
      <c r="J31" s="18" t="s">
        <v>6238</v>
      </c>
    </row>
    <row r="32" spans="2:15" x14ac:dyDescent="0.25">
      <c r="C32" t="s">
        <v>6206</v>
      </c>
      <c r="D32" s="9">
        <v>255.11499999999995</v>
      </c>
      <c r="E32" s="9">
        <v>541.73</v>
      </c>
      <c r="F32" s="9">
        <v>83.43</v>
      </c>
      <c r="G32" s="9">
        <v>59.079999999999991</v>
      </c>
      <c r="J32" s="8" t="s">
        <v>6197</v>
      </c>
      <c r="K32" t="s">
        <v>6226</v>
      </c>
    </row>
    <row r="33" spans="2:11" x14ac:dyDescent="0.25">
      <c r="C33" t="s">
        <v>6207</v>
      </c>
      <c r="D33" s="9">
        <v>584.78999999999985</v>
      </c>
      <c r="E33" s="9">
        <v>357.42999999999995</v>
      </c>
      <c r="F33" s="9">
        <v>355.34</v>
      </c>
      <c r="G33" s="9">
        <v>140.88</v>
      </c>
      <c r="J33" t="s">
        <v>6224</v>
      </c>
      <c r="K33">
        <v>1156</v>
      </c>
    </row>
    <row r="34" spans="2:11" x14ac:dyDescent="0.25">
      <c r="C34" t="s">
        <v>6208</v>
      </c>
      <c r="D34" s="9">
        <v>430.62</v>
      </c>
      <c r="E34" s="9">
        <v>227.42500000000001</v>
      </c>
      <c r="F34" s="9">
        <v>236.315</v>
      </c>
      <c r="G34" s="9">
        <v>414.58499999999992</v>
      </c>
      <c r="J34" t="s">
        <v>6223</v>
      </c>
      <c r="K34">
        <v>1230</v>
      </c>
    </row>
    <row r="35" spans="2:11" x14ac:dyDescent="0.25">
      <c r="C35" t="s">
        <v>6209</v>
      </c>
      <c r="D35" s="9">
        <v>22.5</v>
      </c>
      <c r="E35" s="9">
        <v>77.72</v>
      </c>
      <c r="F35" s="9">
        <v>60.5</v>
      </c>
      <c r="G35" s="9">
        <v>139.67999999999998</v>
      </c>
      <c r="J35" t="s">
        <v>6221</v>
      </c>
      <c r="K35">
        <v>1165</v>
      </c>
    </row>
    <row r="36" spans="2:11" x14ac:dyDescent="0.25">
      <c r="C36" t="s">
        <v>6210</v>
      </c>
      <c r="D36" s="9">
        <v>126.14999999999999</v>
      </c>
      <c r="E36" s="9">
        <v>195.11</v>
      </c>
      <c r="F36" s="9">
        <v>89.13</v>
      </c>
      <c r="G36" s="9">
        <v>302.65999999999997</v>
      </c>
    </row>
    <row r="37" spans="2:11" x14ac:dyDescent="0.25">
      <c r="C37" t="s">
        <v>6211</v>
      </c>
      <c r="D37" s="9">
        <v>376.03</v>
      </c>
      <c r="E37" s="9">
        <v>523.24</v>
      </c>
      <c r="F37" s="9">
        <v>440.96499999999997</v>
      </c>
      <c r="G37" s="9">
        <v>174.46999999999997</v>
      </c>
    </row>
    <row r="38" spans="2:11" x14ac:dyDescent="0.25">
      <c r="C38" t="s">
        <v>6212</v>
      </c>
      <c r="D38" s="9">
        <v>515.17999999999995</v>
      </c>
      <c r="E38" s="9">
        <v>142.56</v>
      </c>
      <c r="F38" s="9">
        <v>347.03999999999996</v>
      </c>
      <c r="G38" s="9">
        <v>104.08499999999999</v>
      </c>
    </row>
    <row r="39" spans="2:11" x14ac:dyDescent="0.25">
      <c r="C39" t="s">
        <v>6213</v>
      </c>
      <c r="D39" s="9">
        <v>95.859999999999985</v>
      </c>
      <c r="E39" s="9">
        <v>484.76</v>
      </c>
      <c r="F39" s="9">
        <v>94.17</v>
      </c>
      <c r="G39" s="9">
        <v>77.10499999999999</v>
      </c>
    </row>
    <row r="40" spans="2:11" x14ac:dyDescent="0.25">
      <c r="B40" t="s">
        <v>6200</v>
      </c>
      <c r="C40" t="s">
        <v>6202</v>
      </c>
      <c r="D40" s="9">
        <v>258.34500000000003</v>
      </c>
      <c r="E40" s="9">
        <v>139.625</v>
      </c>
      <c r="F40" s="9">
        <v>279.52000000000004</v>
      </c>
      <c r="G40" s="9">
        <v>160.19499999999999</v>
      </c>
    </row>
    <row r="41" spans="2:11" x14ac:dyDescent="0.25">
      <c r="C41" t="s">
        <v>6203</v>
      </c>
      <c r="D41" s="9">
        <v>342.2</v>
      </c>
      <c r="E41" s="9">
        <v>284.24999999999994</v>
      </c>
      <c r="F41" s="9">
        <v>251.83</v>
      </c>
      <c r="G41" s="9">
        <v>80.550000000000011</v>
      </c>
    </row>
    <row r="42" spans="2:11" x14ac:dyDescent="0.25">
      <c r="C42" t="s">
        <v>6204</v>
      </c>
      <c r="D42" s="9">
        <v>418.30499999999989</v>
      </c>
      <c r="E42" s="9">
        <v>468.125</v>
      </c>
      <c r="F42" s="9">
        <v>405.05500000000006</v>
      </c>
      <c r="G42" s="9">
        <v>253.15499999999997</v>
      </c>
    </row>
    <row r="43" spans="2:11" x14ac:dyDescent="0.25">
      <c r="C43" t="s">
        <v>6205</v>
      </c>
      <c r="D43" s="9">
        <v>102.32999999999998</v>
      </c>
      <c r="E43" s="9">
        <v>242.14000000000001</v>
      </c>
      <c r="F43" s="9">
        <v>554.875</v>
      </c>
      <c r="G43" s="9">
        <v>106.23999999999998</v>
      </c>
    </row>
    <row r="44" spans="2:11" x14ac:dyDescent="0.25">
      <c r="C44" t="s">
        <v>6206</v>
      </c>
      <c r="D44" s="9">
        <v>234.71999999999997</v>
      </c>
      <c r="E44" s="9">
        <v>133.08000000000001</v>
      </c>
      <c r="F44" s="9">
        <v>267.2</v>
      </c>
      <c r="G44" s="9">
        <v>272.68999999999994</v>
      </c>
    </row>
    <row r="45" spans="2:11" x14ac:dyDescent="0.25">
      <c r="C45" t="s">
        <v>6207</v>
      </c>
      <c r="D45" s="9">
        <v>430.39</v>
      </c>
      <c r="E45" s="9">
        <v>136.20500000000001</v>
      </c>
      <c r="F45" s="9">
        <v>209.6</v>
      </c>
      <c r="G45" s="9">
        <v>88.334999999999994</v>
      </c>
    </row>
    <row r="46" spans="2:11" x14ac:dyDescent="0.25">
      <c r="C46" t="s">
        <v>6208</v>
      </c>
      <c r="D46" s="9">
        <v>109.005</v>
      </c>
      <c r="E46" s="9">
        <v>393.57499999999999</v>
      </c>
      <c r="F46" s="9">
        <v>61.034999999999997</v>
      </c>
      <c r="G46" s="9">
        <v>199.48999999999998</v>
      </c>
    </row>
    <row r="47" spans="2:11" x14ac:dyDescent="0.25">
      <c r="C47" t="s">
        <v>6209</v>
      </c>
      <c r="D47" s="9">
        <v>287.52499999999998</v>
      </c>
      <c r="E47" s="9">
        <v>288.67</v>
      </c>
      <c r="F47" s="9">
        <v>125.58</v>
      </c>
      <c r="G47" s="9">
        <v>374.13499999999999</v>
      </c>
    </row>
    <row r="48" spans="2:11" x14ac:dyDescent="0.25">
      <c r="C48" t="s">
        <v>6210</v>
      </c>
      <c r="D48" s="9">
        <v>840.92999999999984</v>
      </c>
      <c r="E48" s="9">
        <v>409.875</v>
      </c>
      <c r="F48" s="9">
        <v>171.32999999999998</v>
      </c>
      <c r="G48" s="9">
        <v>221.43999999999997</v>
      </c>
    </row>
    <row r="49" spans="2:7" x14ac:dyDescent="0.25">
      <c r="C49" t="s">
        <v>6211</v>
      </c>
      <c r="D49" s="9">
        <v>299.07</v>
      </c>
      <c r="E49" s="9">
        <v>260.32499999999999</v>
      </c>
      <c r="F49" s="9">
        <v>584.64</v>
      </c>
      <c r="G49" s="9">
        <v>256.36500000000001</v>
      </c>
    </row>
    <row r="50" spans="2:7" x14ac:dyDescent="0.25">
      <c r="C50" t="s">
        <v>6212</v>
      </c>
      <c r="D50" s="9">
        <v>323.32499999999999</v>
      </c>
      <c r="E50" s="9">
        <v>565.57000000000005</v>
      </c>
      <c r="F50" s="9">
        <v>537.80999999999995</v>
      </c>
      <c r="G50" s="9">
        <v>189.47499999999999</v>
      </c>
    </row>
    <row r="51" spans="2:7" x14ac:dyDescent="0.25">
      <c r="C51" t="s">
        <v>6213</v>
      </c>
      <c r="D51" s="9">
        <v>399.48499999999996</v>
      </c>
      <c r="E51" s="9">
        <v>148.19999999999999</v>
      </c>
      <c r="F51" s="9">
        <v>388.21999999999997</v>
      </c>
      <c r="G51" s="9">
        <v>212.07499999999999</v>
      </c>
    </row>
    <row r="52" spans="2:7" x14ac:dyDescent="0.25">
      <c r="B52" t="s">
        <v>6201</v>
      </c>
      <c r="C52" t="s">
        <v>6202</v>
      </c>
      <c r="D52" s="9">
        <v>112.69499999999999</v>
      </c>
      <c r="E52" s="9">
        <v>166.32</v>
      </c>
      <c r="F52" s="9">
        <v>843.71499999999992</v>
      </c>
      <c r="G52" s="9">
        <v>146.685</v>
      </c>
    </row>
    <row r="53" spans="2:7" x14ac:dyDescent="0.25">
      <c r="C53" t="s">
        <v>6203</v>
      </c>
      <c r="D53" s="9">
        <v>114.87999999999998</v>
      </c>
      <c r="E53" s="9">
        <v>133.815</v>
      </c>
      <c r="F53" s="9">
        <v>91.175000000000011</v>
      </c>
      <c r="G53" s="9">
        <v>53.759999999999991</v>
      </c>
    </row>
    <row r="54" spans="2:7" x14ac:dyDescent="0.25">
      <c r="C54" t="s">
        <v>6204</v>
      </c>
      <c r="D54" s="9">
        <v>277.76</v>
      </c>
      <c r="E54" s="9">
        <v>175.41</v>
      </c>
      <c r="F54" s="9">
        <v>462.50999999999993</v>
      </c>
      <c r="G54" s="9">
        <v>399.52499999999998</v>
      </c>
    </row>
    <row r="55" spans="2:7" x14ac:dyDescent="0.25">
      <c r="C55" t="s">
        <v>6205</v>
      </c>
      <c r="D55" s="9">
        <v>197.89499999999998</v>
      </c>
      <c r="E55" s="9">
        <v>289.755</v>
      </c>
      <c r="F55" s="9">
        <v>88.545000000000002</v>
      </c>
      <c r="G55" s="9">
        <v>200.25499999999997</v>
      </c>
    </row>
    <row r="56" spans="2:7" x14ac:dyDescent="0.25">
      <c r="C56" t="s">
        <v>6206</v>
      </c>
      <c r="D56" s="9">
        <v>193.11499999999998</v>
      </c>
      <c r="E56" s="9">
        <v>212.49499999999998</v>
      </c>
      <c r="F56" s="9">
        <v>292.29000000000002</v>
      </c>
      <c r="G56" s="9">
        <v>304.46999999999997</v>
      </c>
    </row>
    <row r="57" spans="2:7" x14ac:dyDescent="0.25">
      <c r="C57" t="s">
        <v>6207</v>
      </c>
      <c r="D57" s="9">
        <v>179.79</v>
      </c>
      <c r="E57" s="9">
        <v>426.2</v>
      </c>
      <c r="F57" s="9">
        <v>170.08999999999997</v>
      </c>
      <c r="G57" s="9">
        <v>379.31</v>
      </c>
    </row>
    <row r="58" spans="2:7" x14ac:dyDescent="0.25">
      <c r="C58" t="s">
        <v>6208</v>
      </c>
      <c r="D58" s="9">
        <v>247.28999999999996</v>
      </c>
      <c r="E58" s="9">
        <v>246.685</v>
      </c>
      <c r="F58" s="9">
        <v>271.05499999999995</v>
      </c>
      <c r="G58" s="9">
        <v>141.69999999999999</v>
      </c>
    </row>
    <row r="59" spans="2:7" x14ac:dyDescent="0.25">
      <c r="C59" t="s">
        <v>6209</v>
      </c>
      <c r="D59" s="9">
        <v>116.39499999999998</v>
      </c>
      <c r="E59" s="9">
        <v>41.25</v>
      </c>
      <c r="F59" s="9">
        <v>15.54</v>
      </c>
      <c r="G59" s="9">
        <v>71.06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F93D1-A972-4E14-AD14-3F6F63EE88DF}">
  <dimension ref="W13"/>
  <sheetViews>
    <sheetView showGridLines="0" topLeftCell="A5" workbookViewId="0">
      <selection activeCell="AH14" sqref="AH14"/>
    </sheetView>
  </sheetViews>
  <sheetFormatPr defaultRowHeight="15" x14ac:dyDescent="0.25"/>
  <cols>
    <col min="1" max="16384" width="9.140625" style="15"/>
  </cols>
  <sheetData>
    <row r="13" spans="23:23" x14ac:dyDescent="0.25">
      <c r="W13" s="14"/>
    </row>
  </sheetData>
  <pageMargins left="0.7" right="0.7" top="0.75" bottom="0.75" header="0.3" footer="0.3"/>
  <pageSetup paperSize="9" orientation="portrait" horizontalDpi="300" verticalDpi="0" copies="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Detail1</vt:lpstr>
      <vt:lpstr>orders</vt:lpstr>
      <vt:lpstr>customers</vt:lpstr>
      <vt:lpstr>products</vt:lpstr>
      <vt:lpstr>KPI</vt:lpstr>
      <vt:lpstr>Total Revenue Overtime</vt:lpstr>
      <vt:lpstr>Revenue by Country</vt:lpstr>
      <vt:lpstr>Top Customers</vt:lpstr>
      <vt:lpstr>Product Analysis</vt:lpstr>
      <vt:lpstr>Analysis Sheet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Nabeel Ghalib</dc:creator>
  <cp:keywords/>
  <dc:description/>
  <cp:lastModifiedBy>Nabeel Ghalib</cp:lastModifiedBy>
  <cp:revision/>
  <cp:lastPrinted>2025-02-07T05:54:21Z</cp:lastPrinted>
  <dcterms:created xsi:type="dcterms:W3CDTF">2022-11-26T09:51:45Z</dcterms:created>
  <dcterms:modified xsi:type="dcterms:W3CDTF">2025-02-08T11:17:30Z</dcterms:modified>
  <cp:category/>
  <cp:contentStatus/>
</cp:coreProperties>
</file>